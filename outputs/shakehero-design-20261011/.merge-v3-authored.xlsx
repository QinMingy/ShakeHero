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79e88a3353446d5" /></Relationships>
</file>

<file path=xl/workbook.xml><?xml version="1.0" encoding="utf-8"?>
<x:workbook xmlns:x="http://schemas.openxmlformats.org/spreadsheetml/2006/main">
  <x:sheets>
    <x:sheet xmlns:r="http://schemas.openxmlformats.org/officeDocument/2006/relationships" name="物品" sheetId="1" r:id="R15c63e76116c4ad6"/>
    <x:sheet xmlns:r="http://schemas.openxmlformats.org/officeDocument/2006/relationships" name="遗物" sheetId="2" r:id="Ra291bf03aa7f4acf"/>
    <x:sheet xmlns:r="http://schemas.openxmlformats.org/officeDocument/2006/relationships" name="产物与进阶" sheetId="3" r:id="Rb3dd9ecf1d494455"/>
    <x:sheet xmlns:r="http://schemas.openxmlformats.org/officeDocument/2006/relationships" name="流派组合" sheetId="4" r:id="Rc954341e7d01482c"/>
    <x:sheet xmlns:r="http://schemas.openxmlformats.org/officeDocument/2006/relationships" name="规则" sheetId="5" r:id="R05c7d2c6185d4546"/>
    <x:sheet xmlns:r="http://schemas.openxmlformats.org/officeDocument/2006/relationships" name="原机制适配" sheetId="6" r:id="R8fa053c895a64cbe"/>
    <x:sheet xmlns:r="http://schemas.openxmlformats.org/officeDocument/2006/relationships" name="结算算例" sheetId="7" r:id="R05343d26538c440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7">
    <x:font>
      <x:sz val="11"/>
      <x:name val="Carlito"/>
    </x:font>
    <x:font>
      <x:sz val="10"/>
      <x:color rgb="FF20334D"/>
      <x:name val="Microsoft YaHei"/>
    </x:font>
    <x:font>
      <x:b/>
      <x:sz val="16"/>
      <x:color rgb="FF20334D"/>
      <x:name val="Microsoft YaHei"/>
    </x:font>
    <x:font>
      <x:sz val="10"/>
      <x:color rgb="FF52627A"/>
      <x:name val="Microsoft YaHei"/>
    </x:font>
    <x:font>
      <x:b/>
      <x:sz val="10"/>
      <x:color rgb="FFFFFFFF"/>
      <x:name val="Microsoft YaHei"/>
    </x:font>
    <x:font>
      <x:b/>
      <x:sz val="10"/>
      <x:color rgb="FF3B6B54"/>
      <x:name val="Microsoft YaHei"/>
    </x:font>
    <x:font>
      <x:sz val="10"/>
      <x:color rgb="FF20334D"/>
      <x:name val="Microsoft YaHei"/>
    </x:font>
  </x:fonts>
  <x:fills count="11">
    <x:fill>
      <x:patternFill patternType="none"/>
    </x:fill>
    <x:fill>
      <x:patternFill patternType="gray125"/>
    </x:fill>
    <x:fill>
      <x:patternFill patternType="solid">
        <x:fgColor rgb="FF344D6D"/>
      </x:patternFill>
    </x:fill>
    <x:fill>
      <x:patternFill patternType="solid">
        <x:fgColor rgb="FFF3F6FA"/>
      </x:patternFill>
    </x:fill>
    <x:fill>
      <x:patternFill patternType="solid">
        <x:fgColor rgb="FFFFF2CC"/>
      </x:patternFill>
    </x:fill>
    <x:fill>
      <x:patternFill patternType="solid">
        <x:fgColor rgb="FFF3F6FA"/>
      </x:patternFill>
    </x:fill>
    <x:fill>
      <x:patternFill patternType="solid">
        <x:fgColor rgb="FFFFFFFF"/>
      </x:patternFill>
    </x:fill>
    <x:fill>
      <x:patternFill patternType="solid">
        <x:fgColor rgb="FFFFF2CC"/>
      </x:patternFill>
    </x:fill>
    <x:fill>
      <x:patternFill patternType="solid">
        <x:fgColor rgb="FF344D6D"/>
      </x:patternFill>
    </x:fill>
    <x:fill>
      <x:patternFill patternType="solid">
        <x:fgColor rgb="FFF3F6FA"/>
      </x:patternFill>
    </x:fill>
    <x:fill>
      <x:patternFill patternType="solid">
        <x:fgColor rgb="FFFFFFFF"/>
      </x:patternFill>
    </x:fill>
  </x:fills>
  <x:borders count="2">
    <x:border>
      <x:left/>
      <x:right/>
      <x:top/>
      <x:bottom/>
      <x:diagonal/>
    </x:border>
    <x:border>
      <x:left/>
      <x:right/>
      <x:top/>
      <x:bottom style="thin">
        <x:color rgb="FFD7DFE8"/>
      </x:bottom>
      <x:diagonal/>
    </x:border>
  </x:borders>
  <x:cellStyleXfs count="1">
    <x:xf numFmtId="0" fontId="0" fillId="0" borderId="0"/>
  </x:cellStyleXfs>
  <x:cellXfs count="4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0"/>
    </x:xf>
    <x:xf numFmtId="0" fontId="1" fillId="0" borderId="0" xfId="0" applyNumberFormat="1" applyFont="1" applyFill="1" applyBorder="1" applyAlignment="1">
      <x:alignment vertical="center" wrapText="0"/>
    </x:xf>
    <x:xf numFmtId="0" fontId="3" fillId="0" borderId="0" xfId="0" applyNumberFormat="1" applyFont="1" applyFill="1" applyBorder="1" applyAlignment="1">
      <x:alignment vertical="center" wrapText="0"/>
    </x:xf>
    <x:xf numFmtId="0" fontId="1" fillId="0"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1" fontId="1" fillId="3"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6" fillId="6"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6" fillId="7" borderId="0" xfId="0" applyNumberFormat="1" applyFont="1" applyFill="1" applyBorder="1" applyAlignment="1">
      <x:alignment vertical="center" wrapText="1"/>
    </x:xf>
    <x:xf numFmtId="0" fontId="0" fillId="0" borderId="1" xfId="0" applyNumberFormat="1" applyFont="1" applyFill="1" applyBorder="1"/>
    <x:xf numFmtId="0" fontId="1" fillId="0" borderId="0" xfId="0" applyNumberFormat="1" applyFont="1" applyFill="1" applyBorder="1" applyAlignment="1">
      <x:alignment wrapText="1"/>
    </x:xf>
    <x:xf numFmtId="0" fontId="1" fillId="8" borderId="0" xfId="0" applyNumberFormat="1" applyFont="1" applyFill="1" applyBorder="1" applyAlignment="1">
      <x:alignment vertical="center" wrapText="1"/>
    </x:xf>
    <x:xf numFmtId="0" fontId="4" fillId="8" borderId="0" xfId="0" applyNumberFormat="1" applyFont="1" applyFill="1" applyBorder="1" applyAlignment="1">
      <x:alignment vertical="center" wrapText="1"/>
    </x:xf>
    <x:xf numFmtId="0" fontId="4" fillId="8" borderId="0" xfId="0" applyNumberFormat="1" applyFont="1" applyFill="1" applyBorder="1" applyAlignment="1">
      <x:alignment horizontal="center" vertical="center" wrapText="1"/>
    </x:xf>
    <x:xf numFmtId="0" fontId="1" fillId="9" borderId="0" xfId="0" applyNumberFormat="1" applyFont="1" applyFill="1" applyBorder="1" applyAlignment="1">
      <x:alignment vertical="center" wrapText="1"/>
    </x:xf>
    <x:xf numFmtId="0" fontId="1" fillId="10" borderId="0" xfId="0" applyNumberFormat="1" applyFont="1" applyFill="1" applyBorder="1" applyAlignment="1">
      <x:alignment vertical="center" wrapText="1"/>
    </x:xf>
    <x:xf numFmtId="200" fontId="1" fillId="9" borderId="0" xfId="0" applyNumberFormat="1" applyFont="1" applyFill="1" applyBorder="1" applyAlignment="1">
      <x:alignment vertical="center" wrapText="1"/>
    </x:xf>
    <x:xf numFmtId="200" fontId="1" fillId="10" borderId="0" xfId="0" applyNumberFormat="1" applyFont="1" applyFill="1" applyBorder="1" applyAlignment="1">
      <x:alignment vertical="center" wrapText="1"/>
    </x:xf>
    <x:xf numFmtId="0" fontId="1" fillId="9" borderId="0" xfId="0" applyNumberFormat="1" applyFont="1" applyFill="1" applyBorder="1" applyAlignment="1">
      <x:alignment horizontal="center" vertical="center" wrapText="1"/>
    </x:xf>
    <x:xf numFmtId="0" fontId="1" fillId="10" borderId="0" xfId="0" applyNumberFormat="1" applyFont="1" applyFill="1" applyBorder="1" applyAlignment="1">
      <x:alignment horizontal="center" vertical="center" wrapText="1"/>
    </x:xf>
  </x:cellXfs>
  <x:cellStyles count="1">
    <x:cellStyle name="Normal" xfId="0"/>
  </x:cellStyles>
  <x:dxfs count="13">
    <x:dxf>
      <x:font>
        <x:color rgb="FF194F87"/>
      </x:font>
      <x:fill>
        <x:patternFill>
          <x:bgColor rgb="FFDDEBFA"/>
        </x:patternFill>
      </x:fill>
    </x:dxf>
    <x:dxf>
      <x:font>
        <x:color rgb="FF68408D"/>
      </x:font>
      <x:fill>
        <x:patternFill>
          <x:bgColor rgb="FFEADFF4"/>
        </x:patternFill>
      </x:fill>
    </x:dxf>
    <x:dxf>
      <x:font>
        <x:color rgb="FF2A663D"/>
      </x:font>
      <x:fill>
        <x:patternFill>
          <x:bgColor rgb="FFE1EFE5"/>
        </x:patternFill>
      </x:fill>
    </x:dxf>
    <x:dxf>
      <x:font>
        <x:color rgb="FF194F87"/>
      </x:font>
      <x:fill>
        <x:patternFill>
          <x:bgColor rgb="FFDDEBFA"/>
        </x:patternFill>
      </x:fill>
    </x:dxf>
    <x:dxf>
      <x:font>
        <x:color rgb="FF68408D"/>
      </x:font>
      <x:fill>
        <x:patternFill>
          <x:bgColor rgb="FFEADFF4"/>
        </x:patternFill>
      </x:fill>
    </x:dxf>
    <x:dxf>
      <x:font>
        <x:color rgb="FF2A663D"/>
      </x:font>
      <x:fill>
        <x:patternFill>
          <x:bgColor rgb="FFE1EFE5"/>
        </x:patternFill>
      </x:fill>
    </x:dxf>
    <x:dxf>
      <x:font>
        <x:color rgb="FF194F87"/>
      </x:font>
      <x:fill>
        <x:patternFill>
          <x:bgColor rgb="FFDDEBFA"/>
        </x:patternFill>
      </x:fill>
    </x:dxf>
    <x:dxf>
      <x:font>
        <x:color rgb="FF68408D"/>
      </x:font>
      <x:fill>
        <x:patternFill>
          <x:bgColor rgb="FFEADFF4"/>
        </x:patternFill>
      </x:fill>
    </x:dxf>
    <x:dxf>
      <x:font>
        <x:color rgb="FF2A663D"/>
      </x:font>
      <x:fill>
        <x:patternFill>
          <x:bgColor rgb="FFE1EFE5"/>
        </x:patternFill>
      </x:fill>
    </x:dxf>
    <x:dxf>
      <x:font>
        <x:color rgb="FF2A663D"/>
      </x:font>
      <x:fill>
        <x:patternFill patternType="solid">
          <x:bgColor rgb="FFE1EFE5"/>
        </x:patternFill>
      </x:fill>
    </x:dxf>
    <x:dxf>
      <x:font>
        <x:color rgb="FF194F87"/>
      </x:font>
      <x:fill>
        <x:patternFill patternType="solid">
          <x:bgColor rgb="FFDDEBFA"/>
        </x:patternFill>
      </x:fill>
    </x:dxf>
    <x:dxf>
      <x:font>
        <x:color rgb="FF68408D"/>
      </x:font>
      <x:fill>
        <x:patternFill patternType="solid">
          <x:bgColor rgb="FFEADFF4"/>
        </x:patternFill>
      </x:fill>
    </x:dxf>
    <x:dxf>
      <x:font>
        <x:color rgb="FF7D57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c79f703a2447cc" /><Relationship Type="http://schemas.openxmlformats.org/officeDocument/2006/relationships/theme" Target="/xl/theme/theme1.xml" Id="R8d5353ffe0074dee" /><Relationship Type="http://schemas.openxmlformats.org/officeDocument/2006/relationships/sharedStrings" Target="/xl/sharedStrings.xml" Id="R31edb8403e904204" /><Relationship Type="http://schemas.openxmlformats.org/officeDocument/2006/relationships/worksheet" Target="/xl/worksheets/sheet1.xml" Id="R15c63e76116c4ad6" /><Relationship Type="http://schemas.openxmlformats.org/officeDocument/2006/relationships/worksheet" Target="/xl/worksheets/sheet2.xml" Id="Ra291bf03aa7f4acf" /><Relationship Type="http://schemas.openxmlformats.org/officeDocument/2006/relationships/worksheet" Target="/xl/worksheets/sheet3.xml" Id="Rb3dd9ecf1d494455" /><Relationship Type="http://schemas.openxmlformats.org/officeDocument/2006/relationships/worksheet" Target="/xl/worksheets/sheet4.xml" Id="Rc954341e7d01482c" /><Relationship Type="http://schemas.openxmlformats.org/officeDocument/2006/relationships/worksheet" Target="/xl/worksheets/sheet5.xml" Id="R05c7d2c6185d4546" /><Relationship Type="http://schemas.openxmlformats.org/officeDocument/2006/relationships/worksheet" Target="/xl/worksheets/sheet6.xml" Id="R8fa053c895a64cbe" /><Relationship Type="http://schemas.openxmlformats.org/officeDocument/2006/relationships/worksheet" Target="/xl/worksheets/sheet7.xml" Id="R05343d26538c4409" /></Relationships>
</file>

<file path=xl/tables/table1.xml><?xml version="1.0" encoding="utf-8"?>
<x:table xmlns:x="http://schemas.openxmlformats.org/spreadsheetml/2006/main" id="8" name="Items" displayName="Items" ref="A5:P157" headerRowCount="1" totalsRowCount="0" totalsRowShown="0">
  <x:tableColumns count="16">
    <x:tableColumn id="1" name="ID"/>
    <x:tableColumn id="2" name="名称"/>
    <x:tableColumn id="3" name="品质"/>
    <x:tableColumn id="4" name="基础分"/>
    <x:tableColumn id="5" name="获取方式"/>
    <x:tableColumn id="6" name="是否进入三选一"/>
    <x:tableColumn id="7" name="存续"/>
    <x:tableColumn id="8" name="触发时机"/>
    <x:tableColumn id="9" name="效果"/>
    <x:tableColumn id="10" name="次数与边界"/>
    <x:tableColumn id="11" name="主流派"/>
    <x:tableColumn id="12" name="标签"/>
    <x:tableColumn id="13" name="外观形状"/>
    <x:tableColumn id="14" name="标准形状"/>
    <x:tableColumn id="15" name="原表参考"/>
    <x:tableColumn id="16" name="测试批次"/>
  </x:tableColumns>
  <x:tableStyleInfo name="TableStyleMedium2" showFirstColumn="0" showLastColumn="0" showRowStripes="1" showColumnStripes="0"/>
</x:table>
</file>

<file path=xl/tables/table2.xml><?xml version="1.0" encoding="utf-8"?>
<x:table xmlns:x="http://schemas.openxmlformats.org/spreadsheetml/2006/main" id="2" name="Relics" displayName="Relics" ref="A5:H85" headerRowCount="1" totalsRowCount="0" totalsRowShown="0">
  <x:tableColumns count="8">
    <x:tableColumn id="1" name="ID"/>
    <x:tableColumn id="2" name="名称"/>
    <x:tableColumn id="3" name="品质"/>
    <x:tableColumn id="4" name="触发时机"/>
    <x:tableColumn id="5" name="效果"/>
    <x:tableColumn id="6" name="次数与边界"/>
    <x:tableColumn id="7" name="主流派"/>
    <x:tableColumn id="8" name="原表参考"/>
  </x:tableColumns>
  <x:tableStyleInfo name="TableStyleMedium2" showFirstColumn="0" showLastColumn="0" showRowStripes="1" showColumnStripes="0"/>
</x:table>
</file>

<file path=xl/tables/table3.xml><?xml version="1.0" encoding="utf-8"?>
<x:table xmlns:x="http://schemas.openxmlformats.org/spreadsheetml/2006/main" id="3" name="Products" displayName="Products" ref="A5:L37" headerRowCount="1" totalsRowCount="0" totalsRowShown="0">
  <x:tableColumns count="12">
    <x:tableColumn id="1" name="ID"/>
    <x:tableColumn id="2" name="名称"/>
    <x:tableColumn id="3" name="品质"/>
    <x:tableColumn id="4" name="基础分"/>
    <x:tableColumn id="5" name="能力"/>
    <x:tableColumn id="6" name="来源"/>
    <x:tableColumn id="7" name="存续"/>
    <x:tableColumn id="8" name="主流派"/>
    <x:tableColumn id="9" name="标签"/>
    <x:tableColumn id="10" name="外观形状"/>
    <x:tableColumn id="11" name="标准形状"/>
    <x:tableColumn id="12" name="原表参考"/>
  </x:tableColumns>
  <x:tableStyleInfo name="TableStyleMedium2" showFirstColumn="0" showLastColumn="0" showRowStripes="1" showColumnStripes="0"/>
</x:table>
</file>

<file path=xl/tables/table4.xml><?xml version="1.0" encoding="utf-8"?>
<x:table xmlns:x="http://schemas.openxmlformats.org/spreadsheetml/2006/main" id="4" name="Builds" displayName="Builds" ref="A5:L17" headerRowCount="1" totalsRowCount="0" totalsRowShown="0">
  <x:tableColumns count="12">
    <x:tableColumn id="1" name="流派"/>
    <x:tableColumn id="2" name="得分方式"/>
    <x:tableColumn id="3" name="起步组件"/>
    <x:tableColumn id="4" name="中期组件"/>
    <x:tableColumn id="5" name="核心"/>
    <x:tableColumn id="6" name="推荐遗物"/>
    <x:tableColumn id="7" name="玩家如何安排接触"/>
    <x:tableColumn id="8" name="跨流派搭配"/>
    <x:tableColumn id="9" name="代价与冲突"/>
    <x:tableColumn id="10" name="16件样本比例"/>
    <x:tableColumn id="11" name="局部算例"/>
    <x:tableColumn id="12" name="首测候选"/>
  </x:tableColumns>
  <x:tableStyleInfo name="TableStyleMedium2" showFirstColumn="0" showLastColumn="0" showRowStripes="1" showColumnStripes="0"/>
</x:table>
</file>

<file path=xl/tables/table5.xml><?xml version="1.0" encoding="utf-8"?>
<x:table xmlns:x="http://schemas.openxmlformats.org/spreadsheetml/2006/main" id="5" name="Rules" displayName="Rules" ref="A5:C37" headerRowCount="1" totalsRowCount="0" totalsRowShown="0">
  <x:tableColumns count="3">
    <x:tableColumn id="1" name="状态"/>
    <x:tableColumn id="2" name="条目"/>
    <x:tableColumn id="3" name="内容"/>
  </x:tableColumns>
  <x:tableStyleInfo name="TableStyleMedium2" showFirstColumn="0" showLastColumn="0" showRowStripes="1" showColumnStripes="0"/>
</x:table>
</file>

<file path=xl/tables/table6.xml><?xml version="1.0" encoding="utf-8"?>
<x:table xmlns:x="http://schemas.openxmlformats.org/spreadsheetml/2006/main" id="6" name="Mappings" displayName="Mappings" ref="A5:D20" headerRowCount="1" totalsRowCount="0" totalsRowShown="0">
  <x:tableColumns count="4">
    <x:tableColumn id="1" name="原表机制"/>
    <x:tableColumn id="2" name="本作设计"/>
    <x:tableColumn id="3" name="适配说明"/>
    <x:tableColumn id="4" name="参考条目"/>
  </x:tableColumns>
  <x:tableStyleInfo name="TableStyleMedium2" showFirstColumn="0" showLastColumn="0" showRowStripes="1" showColumnStripes="0"/>
</x:table>
</file>

<file path=xl/tables/table7.xml><?xml version="1.0" encoding="utf-8"?>
<x:table xmlns:x="http://schemas.openxmlformats.org/spreadsheetml/2006/main" id="7" name="ScoreExamples" displayName="ScoreExamples" ref="A5:G13" headerRowCount="1" totalsRowCount="0" totalsRowShown="0">
  <x:tableColumns count="7">
    <x:tableColumn id="1" name="算例"/>
    <x:tableColumn id="2" name="冻结值F"/>
    <x:tableColumn id="3" name="结算加分A"/>
    <x:tableColumn id="4" name="倍率增量M"/>
    <x:tableColumn id="5" name="事件记分E"/>
    <x:tableColumn id="6" name="计算结果"/>
    <x:tableColumn id="7"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48de57b64174ce6" /></Relationships>
</file>

<file path=xl/worksheets/_rels/sheet2.xml.rels>&#65279;<?xml version="1.0" encoding="utf-8"?><Relationships xmlns="http://schemas.openxmlformats.org/package/2006/relationships"><Relationship Type="http://schemas.openxmlformats.org/officeDocument/2006/relationships/table" Target="/xl/tables/table2.xml" Id="R6bffcef5dcca4894" /></Relationships>
</file>

<file path=xl/worksheets/_rels/sheet3.xml.rels>&#65279;<?xml version="1.0" encoding="utf-8"?><Relationships xmlns="http://schemas.openxmlformats.org/package/2006/relationships"><Relationship Type="http://schemas.openxmlformats.org/officeDocument/2006/relationships/table" Target="/xl/tables/table3.xml" Id="R79ef220e146945f8" /></Relationships>
</file>

<file path=xl/worksheets/_rels/sheet4.xml.rels>&#65279;<?xml version="1.0" encoding="utf-8"?><Relationships xmlns="http://schemas.openxmlformats.org/package/2006/relationships"><Relationship Type="http://schemas.openxmlformats.org/officeDocument/2006/relationships/table" Target="/xl/tables/table4.xml" Id="Rfef7f36dbb654998" /></Relationships>
</file>

<file path=xl/worksheets/_rels/sheet5.xml.rels>&#65279;<?xml version="1.0" encoding="utf-8"?><Relationships xmlns="http://schemas.openxmlformats.org/package/2006/relationships"><Relationship Type="http://schemas.openxmlformats.org/officeDocument/2006/relationships/table" Target="/xl/tables/table5.xml" Id="R46a31f24449a4b0b" /></Relationships>
</file>

<file path=xl/worksheets/_rels/sheet6.xml.rels>&#65279;<?xml version="1.0" encoding="utf-8"?><Relationships xmlns="http://schemas.openxmlformats.org/package/2006/relationships"><Relationship Type="http://schemas.openxmlformats.org/officeDocument/2006/relationships/table" Target="/xl/tables/table6.xml" Id="Rc585cfece10a451c" /></Relationships>
</file>

<file path=xl/worksheets/_rels/sheet7.xml.rels>&#65279;<?xml version="1.0" encoding="utf-8"?><Relationships xmlns="http://schemas.openxmlformats.org/package/2006/relationships"><Relationship Type="http://schemas.openxmlformats.org/officeDocument/2006/relationships/table" Target="/xl/tables/table7.xml" Id="R09f2d6e07efc40ba" /></Relationships>
</file>

<file path=xl/worksheets/sheet1.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8" hidden="0" customWidth="1"/>
    <x:col min="2" max="2" width="17" hidden="0" customWidth="1"/>
    <x:col min="3" max="3" width="9" hidden="0" customWidth="1"/>
    <x:col min="4" max="4" width="9" hidden="0" customWidth="1"/>
    <x:col min="5" max="5" width="53" hidden="0" customWidth="1"/>
    <x:col min="6" max="6" width="16" hidden="0" customWidth="1"/>
    <x:col min="7" max="7" width="10" hidden="0" customWidth="1"/>
    <x:col min="8" max="8" width="16" hidden="0" customWidth="1"/>
    <x:col min="9" max="9" width="62" hidden="0" customWidth="1"/>
    <x:col min="10" max="10" width="35" hidden="0" customWidth="1"/>
    <x:col min="11" max="11" width="10" hidden="0" customWidth="1"/>
    <x:col min="12" max="12" width="28" hidden="0" customWidth="1"/>
    <x:col min="13" max="13" width="16" hidden="0" customWidth="1"/>
    <x:col min="14" max="14" width="13" hidden="0" customWidth="1"/>
    <x:col min="15" max="15" width="42" hidden="0" customWidth="1"/>
    <x:col min="16" max="16" width="14" hidden="0" customWidth="1"/>
  </x:cols>
  <x:sheetData>
    <x:row r="1">
      <x:c r="A1" s="3"/>
      <x:c r="B1" s="3"/>
      <x:c r="C1" s="3"/>
      <x:c r="D1" s="3"/>
      <x:c r="E1" s="3"/>
      <x:c r="F1" s="3"/>
      <x:c r="G1" s="3"/>
      <x:c r="H1" s="3"/>
      <x:c r="I1" s="3"/>
      <x:c r="J1" s="3"/>
      <x:c r="K1" s="3"/>
      <x:c r="L1" s="3"/>
      <x:c r="M1" s="3"/>
    </x:row>
    <x:row r="2">
      <x:c r="A2" s="6" t="str">
        <x:v>物品总表 · V3</x:v>
      </x:c>
      <x:c r="B2" s="7"/>
      <x:c r="C2" s="7"/>
      <x:c r="D2" s="7"/>
      <x:c r="E2" s="7"/>
      <x:c r="F2" s="7"/>
      <x:c r="G2" s="7"/>
      <x:c r="H2" s="7"/>
      <x:c r="I2" s="7"/>
      <x:c r="J2" s="7"/>
      <x:c r="K2" s="7"/>
      <x:c r="L2" s="7"/>
      <x:c r="M2" s="7"/>
    </x:row>
    <x:row r="3">
      <x:c r="A3" s="8" t="str">
        <x:v>152件物品，145件永久、7件临时。三选一池120件；生成和变形专属32件。原ID保留。</x:v>
      </x:c>
      <x:c r="B3" s="7"/>
      <x:c r="C3" s="7"/>
      <x:c r="D3" s="7"/>
      <x:c r="E3" s="7"/>
      <x:c r="F3" s="7"/>
      <x:c r="G3" s="7"/>
      <x:c r="H3" s="7"/>
      <x:c r="I3" s="7"/>
      <x:c r="J3" s="7"/>
      <x:c r="K3" s="7"/>
      <x:c r="L3" s="7"/>
      <x:c r="M3" s="7"/>
    </x:row>
    <x:row r="4">
      <x:c r="A4" s="9"/>
      <x:c r="B4" s="9"/>
      <x:c r="C4" s="9"/>
      <x:c r="D4" s="9"/>
      <x:c r="E4" s="9"/>
      <x:c r="F4" s="9"/>
      <x:c r="G4" s="9"/>
      <x:c r="H4" s="9"/>
      <x:c r="I4" s="9"/>
      <x:c r="J4" s="9"/>
      <x:c r="K4" s="9"/>
      <x:c r="L4" s="9"/>
      <x:c r="M4" s="9"/>
      <x:c r="N4" s="29"/>
      <x:c r="O4" s="29"/>
      <x:c r="P4" s="29"/>
    </x:row>
    <x:row r="5" ht="32" customHeight="1">
      <x:c r="A5" s="33" t="str">
        <x:v>ID</x:v>
      </x:c>
      <x:c r="B5" s="33" t="str">
        <x:v>名称</x:v>
      </x:c>
      <x:c r="C5" s="33" t="str">
        <x:v>品质</x:v>
      </x:c>
      <x:c r="D5" s="33" t="str">
        <x:v>基础分</x:v>
      </x:c>
      <x:c r="E5" s="33" t="str">
        <x:v>获取方式</x:v>
      </x:c>
      <x:c r="F5" s="33" t="str">
        <x:v>是否进入三选一</x:v>
      </x:c>
      <x:c r="G5" s="33" t="str">
        <x:v>存续</x:v>
      </x:c>
      <x:c r="H5" s="33" t="str">
        <x:v>触发时机</x:v>
      </x:c>
      <x:c r="I5" s="33" t="str">
        <x:v>效果</x:v>
      </x:c>
      <x:c r="J5" s="33" t="str">
        <x:v>次数与边界</x:v>
      </x:c>
      <x:c r="K5" s="33" t="str">
        <x:v>主流派</x:v>
      </x:c>
      <x:c r="L5" s="33" t="str">
        <x:v>标签</x:v>
      </x:c>
      <x:c r="M5" s="33" t="str">
        <x:v>外观形状</x:v>
      </x:c>
      <x:c r="N5" s="33" t="str">
        <x:v>标准形状</x:v>
      </x:c>
      <x:c r="O5" s="33" t="str">
        <x:v>原表参考</x:v>
      </x:c>
      <x:c r="P5" s="33" t="str">
        <x:v>测试批次</x:v>
      </x:c>
    </x:row>
    <x:row r="6" ht="30" customHeight="1">
      <x:c r="A6" s="34" t="str">
        <x:v>I001</x:v>
      </x:c>
      <x:c r="B6" s="34" t="str">
        <x:v>面包</x:v>
      </x:c>
      <x:c r="C6" s="34" t="str">
        <x:v>普通</x:v>
      </x:c>
      <x:c r="D6" s="36" t="n">
        <x:v>2</x:v>
      </x:c>
      <x:c r="E6" s="34" t="str">
        <x:v>三选一</x:v>
      </x:c>
      <x:c r="F6" s="38" t="str">
        <x:v>是</x:v>
      </x:c>
      <x:c r="G6" s="38" t="str">
        <x:v>永久</x:v>
      </x:c>
      <x:c r="H6" s="34" t="str">
        <x:v>被消耗</x:v>
      </x:c>
      <x:c r="I6" s="34" t="str">
        <x:v>被烹饪物品消耗时，额外记分4。</x:v>
      </x:c>
      <x:c r="J6" s="34" t="str">
        <x:v>同一实例每回合1次</x:v>
      </x:c>
      <x:c r="K6" s="34" t="str">
        <x:v>烹饪</x:v>
      </x:c>
      <x:c r="L6" s="34" t="str">
        <x:v>食物、食材</x:v>
      </x:c>
      <x:c r="M6" s="34" t="str">
        <x:v>圆角长方形</x:v>
      </x:c>
      <x:c r="N6" s="34" t="str">
        <x:v>长条形</x:v>
      </x:c>
      <x:c r="O6" s="34" t="str">
        <x:v>Bread（触发器!D6）</x:v>
      </x:c>
      <x:c r="P6" s="34" t="str">
        <x:v>首测候选</x:v>
      </x:c>
    </x:row>
    <x:row r="7" ht="30" customHeight="1">
      <x:c r="A7" s="35" t="str">
        <x:v>I002</x:v>
      </x:c>
      <x:c r="B7" s="35" t="str">
        <x:v>番茄</x:v>
      </x:c>
      <x:c r="C7" s="35" t="str">
        <x:v>普通</x:v>
      </x:c>
      <x:c r="D7" s="37" t="n">
        <x:v>2</x:v>
      </x:c>
      <x:c r="E7" s="35" t="str">
        <x:v>三选一</x:v>
      </x:c>
      <x:c r="F7" s="39" t="str">
        <x:v>是</x:v>
      </x:c>
      <x:c r="G7" s="39" t="str">
        <x:v>永久</x:v>
      </x:c>
      <x:c r="H7" s="35" t="str">
        <x:v>结算加分</x:v>
      </x:c>
      <x:c r="I7" s="35" t="str">
        <x:v>每接触1个其他番茄，自身本回合+3。</x:v>
      </x:c>
      <x:c r="J7" s="35" t="str">
        <x:v>最多计3个</x:v>
      </x:c>
      <x:c r="K7" s="35" t="str">
        <x:v>烹饪</x:v>
      </x:c>
      <x:c r="L7" s="35" t="str">
        <x:v>食物、食材、植物</x:v>
      </x:c>
      <x:c r="M7" s="35" t="str">
        <x:v>圆形</x:v>
      </x:c>
      <x:c r="N7" s="35" t="str">
        <x:v>圆形</x:v>
      </x:c>
      <x:c r="O7" s="35" t="str">
        <x:v>Tomato（触发器!D27）</x:v>
      </x:c>
      <x:c r="P7" s="35" t="str">
        <x:v>扩展</x:v>
      </x:c>
    </x:row>
    <x:row r="8" ht="30" customHeight="1">
      <x:c r="A8" s="34" t="str">
        <x:v>I003</x:v>
      </x:c>
      <x:c r="B8" s="34" t="str">
        <x:v>奶酪</x:v>
      </x:c>
      <x:c r="C8" s="34" t="str">
        <x:v>优秀</x:v>
      </x:c>
      <x:c r="D8" s="36" t="n">
        <x:v>3</x:v>
      </x:c>
      <x:c r="E8" s="34" t="str">
        <x:v>三选一</x:v>
      </x:c>
      <x:c r="F8" s="38" t="str">
        <x:v>是</x:v>
      </x:c>
      <x:c r="G8" s="38" t="str">
        <x:v>永久</x:v>
      </x:c>
      <x:c r="H8" s="34" t="str">
        <x:v>结算末</x:v>
      </x:c>
      <x:c r="I8" s="34" t="str">
        <x:v>若存活且本回合被烹饪物品增值过，自身永久基础分+1。</x:v>
      </x:c>
      <x:c r="J8" s="34" t="str">
        <x:v>每回合1次；永久累计+8封顶</x:v>
      </x:c>
      <x:c r="K8" s="34" t="str">
        <x:v>烹饪</x:v>
      </x:c>
      <x:c r="L8" s="34" t="str">
        <x:v>食物、食材、成长</x:v>
      </x:c>
      <x:c r="M8" s="34" t="str">
        <x:v>三角形</x:v>
      </x:c>
      <x:c r="N8" s="34" t="str">
        <x:v>三角形</x:v>
      </x:c>
      <x:c r="O8" s="34" t="str">
        <x:v>Cheese（触发器!D38）</x:v>
      </x:c>
      <x:c r="P8" s="34" t="str">
        <x:v>首测候选</x:v>
      </x:c>
    </x:row>
    <x:row r="9" ht="30" customHeight="1">
      <x:c r="A9" s="35" t="str">
        <x:v>I004</x:v>
      </x:c>
      <x:c r="B9" s="35" t="str">
        <x:v>平底锅</x:v>
      </x:c>
      <x:c r="C9" s="35" t="str">
        <x:v>优秀</x:v>
      </x:c>
      <x:c r="D9" s="37" t="n">
        <x:v>2</x:v>
      </x:c>
      <x:c r="E9" s="35" t="str">
        <x:v>三选一</x:v>
      </x:c>
      <x:c r="F9" s="39" t="str">
        <x:v>是</x:v>
      </x:c>
      <x:c r="G9" s="39" t="str">
        <x:v>永久</x:v>
      </x:c>
      <x:c r="H9" s="35" t="str">
        <x:v>接触</x:v>
      </x:c>
      <x:c r="I9" s="35" t="str">
        <x:v>消耗接触的1件食材，生成1份热餐。</x:v>
      </x:c>
      <x:c r="J9" s="35" t="str">
        <x:v>每回合1次；餐食不是食材</x:v>
      </x:c>
      <x:c r="K9" s="35" t="str">
        <x:v>烹饪</x:v>
      </x:c>
      <x:c r="L9" s="35" t="str">
        <x:v>烹饪、工具、生产者</x:v>
      </x:c>
      <x:c r="M9" s="35" t="str">
        <x:v>浅碟形</x:v>
      </x:c>
      <x:c r="N9" s="35" t="str">
        <x:v>凹槽形</x:v>
      </x:c>
      <x:c r="O9" s="35" t="str">
        <x:v>Chef's Pan（触发器!D39）</x:v>
      </x:c>
      <x:c r="P9" s="35" t="str">
        <x:v>首测候选</x:v>
      </x:c>
    </x:row>
    <x:row r="10" ht="30" customHeight="1">
      <x:c r="A10" s="34" t="str">
        <x:v>I005</x:v>
      </x:c>
      <x:c r="B10" s="34" t="str">
        <x:v>盐罐</x:v>
      </x:c>
      <x:c r="C10" s="34" t="str">
        <x:v>普通</x:v>
      </x:c>
      <x:c r="D10" s="36" t="n">
        <x:v>1</x:v>
      </x:c>
      <x:c r="E10" s="34" t="str">
        <x:v>三选一</x:v>
      </x:c>
      <x:c r="F10" s="38" t="str">
        <x:v>是</x:v>
      </x:c>
      <x:c r="G10" s="38" t="str">
        <x:v>永久</x:v>
      </x:c>
      <x:c r="H10" s="34" t="str">
        <x:v>接触</x:v>
      </x:c>
      <x:c r="I10" s="34" t="str">
        <x:v>使接触的食物本回合+2。</x:v>
      </x:c>
      <x:c r="J10" s="34" t="str">
        <x:v>每个目标1次；最多4个</x:v>
      </x:c>
      <x:c r="K10" s="34" t="str">
        <x:v>烹饪</x:v>
      </x:c>
      <x:c r="L10" s="34" t="str">
        <x:v>烹饪、调味</x:v>
      </x:c>
      <x:c r="M10" s="34" t="str">
        <x:v>胶囊形</x:v>
      </x:c>
      <x:c r="N10" s="34" t="str">
        <x:v>长条形</x:v>
      </x:c>
      <x:c r="O10" s="34" t="str">
        <x:v>Toque（增益!D27）</x:v>
      </x:c>
      <x:c r="P10" s="34" t="str">
        <x:v>首测候选</x:v>
      </x:c>
    </x:row>
    <x:row r="11" ht="30" customHeight="1">
      <x:c r="A11" s="35" t="str">
        <x:v>I006</x:v>
      </x:c>
      <x:c r="B11" s="35" t="str">
        <x:v>餐盘</x:v>
      </x:c>
      <x:c r="C11" s="35" t="str">
        <x:v>优秀</x:v>
      </x:c>
      <x:c r="D11" s="37" t="n">
        <x:v>2</x:v>
      </x:c>
      <x:c r="E11" s="35" t="str">
        <x:v>三选一</x:v>
      </x:c>
      <x:c r="F11" s="39" t="str">
        <x:v>是</x:v>
      </x:c>
      <x:c r="G11" s="39" t="str">
        <x:v>永久</x:v>
      </x:c>
      <x:c r="H11" s="35" t="str">
        <x:v>结算倍率</x:v>
      </x:c>
      <x:c r="I11" s="35" t="str">
        <x:v>接触着至少2种不同食物时，这些食物各获得+50%结算倍率。</x:v>
      </x:c>
      <x:c r="J11" s="35" t="str">
        <x:v>最多影响4件；食物留在瓶中</x:v>
      </x:c>
      <x:c r="K11" s="35" t="str">
        <x:v>烹饪</x:v>
      </x:c>
      <x:c r="L11" s="35" t="str">
        <x:v>烹饪、辅助</x:v>
      </x:c>
      <x:c r="M11" s="35" t="str">
        <x:v>扁椭圆</x:v>
      </x:c>
      <x:c r="N11" s="35" t="str">
        <x:v>不规则形</x:v>
      </x:c>
      <x:c r="O11" s="35" t="str">
        <x:v>Plate（触发器!D89）</x:v>
      </x:c>
      <x:c r="P11" s="35" t="str">
        <x:v>扩展</x:v>
      </x:c>
    </x:row>
    <x:row r="12" ht="30" customHeight="1">
      <x:c r="A12" s="34" t="str">
        <x:v>I007</x:v>
      </x:c>
      <x:c r="B12" s="34" t="str">
        <x:v>饕餮嘴</x:v>
      </x:c>
      <x:c r="C12" s="34" t="str">
        <x:v>稀有</x:v>
      </x:c>
      <x:c r="D12" s="36" t="n">
        <x:v>1</x:v>
      </x:c>
      <x:c r="E12" s="34" t="str">
        <x:v>三选一</x:v>
      </x:c>
      <x:c r="F12" s="38" t="str">
        <x:v>是</x:v>
      </x:c>
      <x:c r="G12" s="38" t="str">
        <x:v>永久</x:v>
      </x:c>
      <x:c r="H12" s="34" t="str">
        <x:v>接触</x:v>
      </x:c>
      <x:c r="I12" s="34" t="str">
        <x:v>消耗1件食物，记分等于其当前值+8。</x:v>
      </x:c>
      <x:c r="J12" s="34" t="str">
        <x:v>每回合最多2件</x:v>
      </x:c>
      <x:c r="K12" s="34" t="str">
        <x:v>烹饪</x:v>
      </x:c>
      <x:c r="L12" s="34" t="str">
        <x:v>烹饪、消费者</x:v>
      </x:c>
      <x:c r="M12" s="34" t="str">
        <x:v>月牙形</x:v>
      </x:c>
      <x:c r="N12" s="34" t="str">
        <x:v>弧形</x:v>
      </x:c>
      <x:c r="O12" s="34" t="str">
        <x:v>Hungry Mouth（触发器!D45）</x:v>
      </x:c>
      <x:c r="P12" s="34" t="str">
        <x:v>首测候选</x:v>
      </x:c>
    </x:row>
    <x:row r="13" ht="30" customHeight="1">
      <x:c r="A13" s="35" t="str">
        <x:v>I008</x:v>
      </x:c>
      <x:c r="B13" s="35" t="str">
        <x:v>便当布</x:v>
      </x:c>
      <x:c r="C13" s="35" t="str">
        <x:v>优秀</x:v>
      </x:c>
      <x:c r="D13" s="37" t="n">
        <x:v>2</x:v>
      </x:c>
      <x:c r="E13" s="35" t="str">
        <x:v>三选一</x:v>
      </x:c>
      <x:c r="F13" s="39" t="str">
        <x:v>是</x:v>
      </x:c>
      <x:c r="G13" s="39" t="str">
        <x:v>永久</x:v>
      </x:c>
      <x:c r="H13" s="35" t="str">
        <x:v>结算加分</x:v>
      </x:c>
      <x:c r="I13" s="35" t="str">
        <x:v>自己接触的食物各本回合+3；其中至少有3种不同食物时，自己再+6。</x:v>
      </x:c>
      <x:c r="J13" s="35" t="str">
        <x:v>最多影响3件；不移走食物</x:v>
      </x:c>
      <x:c r="K13" s="35" t="str">
        <x:v>烹饪</x:v>
      </x:c>
      <x:c r="L13" s="35" t="str">
        <x:v>烹饪、辅助</x:v>
      </x:c>
      <x:c r="M13" s="35" t="str">
        <x:v>方形</x:v>
      </x:c>
      <x:c r="N13" s="35" t="str">
        <x:v>方形</x:v>
      </x:c>
      <x:c r="O13" s="35" t="str">
        <x:v>Ballmart（触发器!D3）</x:v>
      </x:c>
      <x:c r="P13" s="35" t="str">
        <x:v>扩展</x:v>
      </x:c>
    </x:row>
    <x:row r="14" ht="30" customHeight="1">
      <x:c r="A14" s="34" t="str">
        <x:v>I009</x:v>
      </x:c>
      <x:c r="B14" s="34" t="str">
        <x:v>烤面包架</x:v>
      </x:c>
      <x:c r="C14" s="34" t="str">
        <x:v>稀有</x:v>
      </x:c>
      <x:c r="D14" s="36" t="n">
        <x:v>2</x:v>
      </x:c>
      <x:c r="E14" s="34" t="str">
        <x:v>三选一</x:v>
      </x:c>
      <x:c r="F14" s="38" t="str">
        <x:v>是</x:v>
      </x:c>
      <x:c r="G14" s="38" t="str">
        <x:v>永久</x:v>
      </x:c>
      <x:c r="H14" s="34" t="str">
        <x:v>接触</x:v>
      </x:c>
      <x:c r="I14" s="34" t="str">
        <x:v>接触火元素后点燃。点燃后，消耗接触的面包，生成1片烤吐司。</x:v>
      </x:c>
      <x:c r="J14" s="34" t="str">
        <x:v>每回合1片；不消耗点火物</x:v>
      </x:c>
      <x:c r="K14" s="34" t="str">
        <x:v>烹饪</x:v>
      </x:c>
      <x:c r="L14" s="34" t="str">
        <x:v>烹饪、工具、生产者</x:v>
      </x:c>
      <x:c r="M14" s="34" t="str">
        <x:v>凹字形</x:v>
      </x:c>
      <x:c r="N14" s="34" t="str">
        <x:v>凹槽形</x:v>
      </x:c>
      <x:c r="O14" s="34" t="str">
        <x:v>Campfire（触发器!D10）；Bread（触发器!D6）</x:v>
      </x:c>
      <x:c r="P14" s="34" t="str">
        <x:v>扩展</x:v>
      </x:c>
    </x:row>
    <x:row r="15" ht="38" customHeight="1">
      <x:c r="A15" s="35" t="str">
        <x:v>I010</x:v>
      </x:c>
      <x:c r="B15" s="35" t="str">
        <x:v>宴会钟</x:v>
      </x:c>
      <x:c r="C15" s="35" t="str">
        <x:v>史诗</x:v>
      </x:c>
      <x:c r="D15" s="37" t="n">
        <x:v>3</x:v>
      </x:c>
      <x:c r="E15" s="35" t="str">
        <x:v>三选一</x:v>
      </x:c>
      <x:c r="F15" s="39" t="str">
        <x:v>是</x:v>
      </x:c>
      <x:c r="G15" s="39" t="str">
        <x:v>永久</x:v>
      </x:c>
      <x:c r="H15" s="35" t="str">
        <x:v>结算倍率</x:v>
      </x:c>
      <x:c r="I15" s="35" t="str">
        <x:v>本回合消耗过至少2种不同食材时，所有存活餐食获得+50%结算倍率。</x:v>
      </x:c>
      <x:c r="J15" s="35" t="str">
        <x:v>每回合1次</x:v>
      </x:c>
      <x:c r="K15" s="35" t="str">
        <x:v>烹饪</x:v>
      </x:c>
      <x:c r="L15" s="35" t="str">
        <x:v>烹饪、结算核心</x:v>
      </x:c>
      <x:c r="M15" s="35" t="str">
        <x:v>钟形</x:v>
      </x:c>
      <x:c r="N15" s="35" t="str">
        <x:v>不规则形</x:v>
      </x:c>
      <x:c r="O15" s="35" t="str">
        <x:v>Plate（触发器!D89）；Cash Register（触发器!D36）</x:v>
      </x:c>
      <x:c r="P15" s="35" t="str">
        <x:v>扩展</x:v>
      </x:c>
    </x:row>
    <x:row r="16" ht="30" customHeight="1">
      <x:c r="A16" s="34" t="str">
        <x:v>I011</x:v>
      </x:c>
      <x:c r="B16" s="34" t="str">
        <x:v>雨云</x:v>
      </x:c>
      <x:c r="C16" s="34" t="str">
        <x:v>普通</x:v>
      </x:c>
      <x:c r="D16" s="36" t="n">
        <x:v>1</x:v>
      </x:c>
      <x:c r="E16" s="34" t="str">
        <x:v>三选一</x:v>
      </x:c>
      <x:c r="F16" s="38" t="str">
        <x:v>是</x:v>
      </x:c>
      <x:c r="G16" s="38" t="str">
        <x:v>永久</x:v>
      </x:c>
      <x:c r="H16" s="34" t="str">
        <x:v>接触</x:v>
      </x:c>
      <x:c r="I16" s="34" t="str">
        <x:v>接触植物时生成1颗水珠。</x:v>
      </x:c>
      <x:c r="J16" s="34" t="str">
        <x:v>每回合1颗</x:v>
      </x:c>
      <x:c r="K16" s="34" t="str">
        <x:v>种植</x:v>
      </x:c>
      <x:c r="L16" s="34" t="str">
        <x:v>植物辅助、生产者</x:v>
      </x:c>
      <x:c r="M16" s="34" t="str">
        <x:v>云朵形</x:v>
      </x:c>
      <x:c r="N16" s="34" t="str">
        <x:v>不规则形</x:v>
      </x:c>
      <x:c r="O16" s="34" t="str">
        <x:v>Stormy Weather（触发器!D96）</x:v>
      </x:c>
      <x:c r="P16" s="34" t="str">
        <x:v>首测候选</x:v>
      </x:c>
    </x:row>
    <x:row r="17" ht="30" customHeight="1">
      <x:c r="A17" s="35" t="str">
        <x:v>I012</x:v>
      </x:c>
      <x:c r="B17" s="35" t="str">
        <x:v>幼苗</x:v>
      </x:c>
      <x:c r="C17" s="35" t="str">
        <x:v>普通</x:v>
      </x:c>
      <x:c r="D17" s="37" t="n">
        <x:v>1</x:v>
      </x:c>
      <x:c r="E17" s="35" t="str">
        <x:v>三选一</x:v>
      </x:c>
      <x:c r="F17" s="39" t="str">
        <x:v>是</x:v>
      </x:c>
      <x:c r="G17" s="39" t="str">
        <x:v>永久</x:v>
      </x:c>
      <x:c r="H17" s="35" t="str">
        <x:v>接触</x:v>
      </x:c>
      <x:c r="I17" s="35" t="str">
        <x:v>首次接触水元素时，永久变为嫩芽。</x:v>
      </x:c>
      <x:c r="J17" s="35" t="str">
        <x:v>同一实例仅变形1次；不消耗水元素</x:v>
      </x:c>
      <x:c r="K17" s="35" t="str">
        <x:v>种植</x:v>
      </x:c>
      <x:c r="L17" s="35" t="str">
        <x:v>植物、成长</x:v>
      </x:c>
      <x:c r="M17" s="35" t="str">
        <x:v>小三角形</x:v>
      </x:c>
      <x:c r="N17" s="35" t="str">
        <x:v>三角形</x:v>
      </x:c>
      <x:c r="O17" s="35" t="str">
        <x:v>Seedling（触发器!D24）</x:v>
      </x:c>
      <x:c r="P17" s="35" t="str">
        <x:v>首测候选</x:v>
      </x:c>
    </x:row>
    <x:row r="18" ht="30" customHeight="1">
      <x:c r="A18" s="34" t="str">
        <x:v>I013</x:v>
      </x:c>
      <x:c r="B18" s="34" t="str">
        <x:v>南瓜</x:v>
      </x:c>
      <x:c r="C18" s="34" t="str">
        <x:v>优秀</x:v>
      </x:c>
      <x:c r="D18" s="36" t="n">
        <x:v>3</x:v>
      </x:c>
      <x:c r="E18" s="34" t="str">
        <x:v>三选一</x:v>
      </x:c>
      <x:c r="F18" s="38" t="str">
        <x:v>是</x:v>
      </x:c>
      <x:c r="G18" s="38" t="str">
        <x:v>永久</x:v>
      </x:c>
      <x:c r="H18" s="34" t="str">
        <x:v>接触</x:v>
      </x:c>
      <x:c r="I18" s="34" t="str">
        <x:v>消耗1颗水珠，使自己本回合+3。</x:v>
      </x:c>
      <x:c r="J18" s="34" t="str">
        <x:v>每回合最多3颗</x:v>
      </x:c>
      <x:c r="K18" s="34" t="str">
        <x:v>种植</x:v>
      </x:c>
      <x:c r="L18" s="34" t="str">
        <x:v>植物、食物</x:v>
      </x:c>
      <x:c r="M18" s="34" t="str">
        <x:v>宽椭圆</x:v>
      </x:c>
      <x:c r="N18" s="34" t="str">
        <x:v>不规则形</x:v>
      </x:c>
      <x:c r="O18" s="34" t="str">
        <x:v>Pumpkin（触发器!D22）</x:v>
      </x:c>
      <x:c r="P18" s="34" t="str">
        <x:v>首测候选</x:v>
      </x:c>
    </x:row>
    <x:row r="19" ht="30" customHeight="1">
      <x:c r="A19" s="35" t="str">
        <x:v>I014</x:v>
      </x:c>
      <x:c r="B19" s="35" t="str">
        <x:v>葡萄藤</x:v>
      </x:c>
      <x:c r="C19" s="35" t="str">
        <x:v>优秀</x:v>
      </x:c>
      <x:c r="D19" s="37" t="n">
        <x:v>2</x:v>
      </x:c>
      <x:c r="E19" s="35" t="str">
        <x:v>三选一</x:v>
      </x:c>
      <x:c r="F19" s="39" t="str">
        <x:v>是</x:v>
      </x:c>
      <x:c r="G19" s="39" t="str">
        <x:v>永久</x:v>
      </x:c>
      <x:c r="H19" s="35" t="str">
        <x:v>接触</x:v>
      </x:c>
      <x:c r="I19" s="35" t="str">
        <x:v>接触其他植物时生成1颗葡萄，自己本回合+2。</x:v>
      </x:c>
      <x:c r="J19" s="35" t="str">
        <x:v>每回合1颗</x:v>
      </x:c>
      <x:c r="K19" s="35" t="str">
        <x:v>种植</x:v>
      </x:c>
      <x:c r="L19" s="35" t="str">
        <x:v>植物、生产者</x:v>
      </x:c>
      <x:c r="M19" s="35" t="str">
        <x:v>长条形</x:v>
      </x:c>
      <x:c r="N19" s="35" t="str">
        <x:v>长条形</x:v>
      </x:c>
      <x:c r="O19" s="35" t="str">
        <x:v>Grape Vine（触发器!D44）</x:v>
      </x:c>
      <x:c r="P19" s="35" t="str">
        <x:v>首测候选</x:v>
      </x:c>
    </x:row>
    <x:row r="20" ht="38" customHeight="1">
      <x:c r="A20" s="34" t="str">
        <x:v>I015</x:v>
      </x:c>
      <x:c r="B20" s="34" t="str">
        <x:v>果树</x:v>
      </x:c>
      <x:c r="C20" s="34" t="str">
        <x:v>稀有</x:v>
      </x:c>
      <x:c r="D20" s="36" t="n">
        <x:v>3</x:v>
      </x:c>
      <x:c r="E20" s="34" t="str">
        <x:v>三选一</x:v>
      </x:c>
      <x:c r="F20" s="38" t="str">
        <x:v>是</x:v>
      </x:c>
      <x:c r="G20" s="38" t="str">
        <x:v>永久</x:v>
      </x:c>
      <x:c r="H20" s="34" t="str">
        <x:v>接触及结算末</x:v>
      </x:c>
      <x:c r="I20" s="34" t="str">
        <x:v>首次接触水元素时生成1颗苹果。自己本回合生成的苹果被消耗，且果树存活时，果树永久基础分+1。</x:v>
      </x:c>
      <x:c r="J20" s="34" t="str">
        <x:v>每回合生成1次；永久累计+10封顶</x:v>
      </x:c>
      <x:c r="K20" s="34" t="str">
        <x:v>种植</x:v>
      </x:c>
      <x:c r="L20" s="34" t="str">
        <x:v>植物、成长、生产者</x:v>
      </x:c>
      <x:c r="M20" s="34" t="str">
        <x:v>树冠形</x:v>
      </x:c>
      <x:c r="N20" s="34" t="str">
        <x:v>不规则形</x:v>
      </x:c>
      <x:c r="O20" s="34" t="str">
        <x:v>Tree（触发器!D28）；Harvester（触发器!D114）</x:v>
      </x:c>
      <x:c r="P20" s="34" t="str">
        <x:v>扩展</x:v>
      </x:c>
    </x:row>
    <x:row r="21" ht="30" customHeight="1">
      <x:c r="A21" s="35" t="str">
        <x:v>I016</x:v>
      </x:c>
      <x:c r="B21" s="35" t="str">
        <x:v>三叶草</x:v>
      </x:c>
      <x:c r="C21" s="35" t="str">
        <x:v>普通</x:v>
      </x:c>
      <x:c r="D21" s="37" t="n">
        <x:v>2</x:v>
      </x:c>
      <x:c r="E21" s="35" t="str">
        <x:v>三选一</x:v>
      </x:c>
      <x:c r="F21" s="39" t="str">
        <x:v>是</x:v>
      </x:c>
      <x:c r="G21" s="39" t="str">
        <x:v>永久</x:v>
      </x:c>
      <x:c r="H21" s="35" t="str">
        <x:v>结算加分</x:v>
      </x:c>
      <x:c r="I21" s="35" t="str">
        <x:v>所在植物接触组中有至少3个三叶草时，自己本回合+6。</x:v>
      </x:c>
      <x:c r="J21" s="35" t="str">
        <x:v>每件1次</x:v>
      </x:c>
      <x:c r="K21" s="35" t="str">
        <x:v>种植</x:v>
      </x:c>
      <x:c r="L21" s="35" t="str">
        <x:v>植物、成簇</x:v>
      </x:c>
      <x:c r="M21" s="35" t="str">
        <x:v>三瓣形</x:v>
      </x:c>
      <x:c r="N21" s="35" t="str">
        <x:v>不规则形</x:v>
      </x:c>
      <x:c r="O21" s="35" t="str">
        <x:v>Clover（触发器!D40）</x:v>
      </x:c>
      <x:c r="P21" s="35" t="str">
        <x:v>扩展</x:v>
      </x:c>
    </x:row>
    <x:row r="22" ht="30" customHeight="1">
      <x:c r="A22" s="34" t="str">
        <x:v>I017</x:v>
      </x:c>
      <x:c r="B22" s="34" t="str">
        <x:v>浇水壶</x:v>
      </x:c>
      <x:c r="C22" s="34" t="str">
        <x:v>优秀</x:v>
      </x:c>
      <x:c r="D22" s="36" t="n">
        <x:v>2</x:v>
      </x:c>
      <x:c r="E22" s="34" t="str">
        <x:v>三选一</x:v>
      </x:c>
      <x:c r="F22" s="38" t="str">
        <x:v>是</x:v>
      </x:c>
      <x:c r="G22" s="38" t="str">
        <x:v>永久</x:v>
      </x:c>
      <x:c r="H22" s="34" t="str">
        <x:v>接触</x:v>
      </x:c>
      <x:c r="I22" s="34" t="str">
        <x:v>使接触的植物本回合+2；此时自己还接触着水珠，则改为+5。</x:v>
      </x:c>
      <x:c r="J22" s="34" t="str">
        <x:v>每植物1次；最多3件；不消耗水珠</x:v>
      </x:c>
      <x:c r="K22" s="34" t="str">
        <x:v>种植</x:v>
      </x:c>
      <x:c r="L22" s="34" t="str">
        <x:v>植物辅助、工具</x:v>
      </x:c>
      <x:c r="M22" s="34" t="str">
        <x:v>圆壶形</x:v>
      </x:c>
      <x:c r="N22" s="34" t="str">
        <x:v>不规则形</x:v>
      </x:c>
      <x:c r="O22" s="34" t="str">
        <x:v>Well（触发器!D64）；Pumpkin（触发器!D22）</x:v>
      </x:c>
      <x:c r="P22" s="34" t="str">
        <x:v>扩展</x:v>
      </x:c>
    </x:row>
    <x:row r="23" ht="38" customHeight="1">
      <x:c r="A23" s="35" t="str">
        <x:v>I018</x:v>
      </x:c>
      <x:c r="B23" s="35" t="str">
        <x:v>蜜蜂</x:v>
      </x:c>
      <x:c r="C23" s="35" t="str">
        <x:v>普通</x:v>
      </x:c>
      <x:c r="D23" s="37" t="n">
        <x:v>2</x:v>
      </x:c>
      <x:c r="E23" s="35" t="str">
        <x:v>三选一</x:v>
      </x:c>
      <x:c r="F23" s="39" t="str">
        <x:v>是</x:v>
      </x:c>
      <x:c r="G23" s="39" t="str">
        <x:v>永久</x:v>
      </x:c>
      <x:c r="H23" s="35" t="str">
        <x:v>接触</x:v>
      </x:c>
      <x:c r="I23" s="35" t="str">
        <x:v>接触植物时，双方本回合各+1；接触过3个不同植物后生成1滴蜂蜜。</x:v>
      </x:c>
      <x:c r="J23" s="35" t="str">
        <x:v>最多增值4个植物；每回合1滴蜂蜜</x:v>
      </x:c>
      <x:c r="K23" s="35" t="str">
        <x:v>种植</x:v>
      </x:c>
      <x:c r="L23" s="35" t="str">
        <x:v>动物、植物辅助、生产者</x:v>
      </x:c>
      <x:c r="M23" s="35" t="str">
        <x:v>胶囊形</x:v>
      </x:c>
      <x:c r="N23" s="35" t="str">
        <x:v>长条形</x:v>
      </x:c>
      <x:c r="O23" s="35" t="str">
        <x:v>Butterfly（触发器!D105）；Grape Vine（触发器!D44）</x:v>
      </x:c>
      <x:c r="P23" s="35" t="str">
        <x:v>扩展</x:v>
      </x:c>
    </x:row>
    <x:row r="24" ht="30" customHeight="1">
      <x:c r="A24" s="34" t="str">
        <x:v>I019</x:v>
      </x:c>
      <x:c r="B24" s="34" t="str">
        <x:v>温室罩</x:v>
      </x:c>
      <x:c r="C24" s="34" t="str">
        <x:v>稀有</x:v>
      </x:c>
      <x:c r="D24" s="36" t="n">
        <x:v>2</x:v>
      </x:c>
      <x:c r="E24" s="34" t="str">
        <x:v>三选一</x:v>
      </x:c>
      <x:c r="F24" s="38" t="str">
        <x:v>是</x:v>
      </x:c>
      <x:c r="G24" s="38" t="str">
        <x:v>永久</x:v>
      </x:c>
      <x:c r="H24" s="34" t="str">
        <x:v>结算倍率</x:v>
      </x:c>
      <x:c r="I24" s="34" t="str">
        <x:v>相接触的植物各获得+50%结算倍率。</x:v>
      </x:c>
      <x:c r="J24" s="34" t="str">
        <x:v>最多影响2件；按冻结值从高到低</x:v>
      </x:c>
      <x:c r="K24" s="34" t="str">
        <x:v>种植</x:v>
      </x:c>
      <x:c r="L24" s="34" t="str">
        <x:v>植物辅助</x:v>
      </x:c>
      <x:c r="M24" s="34" t="str">
        <x:v>拱形</x:v>
      </x:c>
      <x:c r="N24" s="34" t="str">
        <x:v>弧形</x:v>
      </x:c>
      <x:c r="O24" s="34" t="str">
        <x:v>Greenhouse（触发器!D80）</x:v>
      </x:c>
      <x:c r="P24" s="34" t="str">
        <x:v>扩展</x:v>
      </x:c>
    </x:row>
    <x:row r="25" ht="38" customHeight="1">
      <x:c r="A25" s="35" t="str">
        <x:v>I020</x:v>
      </x:c>
      <x:c r="B25" s="35" t="str">
        <x:v>花盆</x:v>
      </x:c>
      <x:c r="C25" s="35" t="str">
        <x:v>普通</x:v>
      </x:c>
      <x:c r="D25" s="37" t="n">
        <x:v>2</x:v>
      </x:c>
      <x:c r="E25" s="35" t="str">
        <x:v>三选一</x:v>
      </x:c>
      <x:c r="F25" s="39" t="str">
        <x:v>是</x:v>
      </x:c>
      <x:c r="G25" s="39" t="str">
        <x:v>永久</x:v>
      </x:c>
      <x:c r="H25" s="35" t="str">
        <x:v>结算加分</x:v>
      </x:c>
      <x:c r="I25" s="35" t="str">
        <x:v>恰好接触1件植物时，该植物本回合+6；接触2件以上时，这些植物各本回合+2。</x:v>
      </x:c>
      <x:c r="J25" s="35" t="str">
        <x:v>最多影响3件</x:v>
      </x:c>
      <x:c r="K25" s="35" t="str">
        <x:v>种植</x:v>
      </x:c>
      <x:c r="L25" s="35" t="str">
        <x:v>植物辅助</x:v>
      </x:c>
      <x:c r="M25" s="35" t="str">
        <x:v>梯形</x:v>
      </x:c>
      <x:c r="N25" s="35" t="str">
        <x:v>不规则形</x:v>
      </x:c>
      <x:c r="O25" s="35" t="str">
        <x:v>House Plant（触发器!D82）；Hammock（触发器!D15）</x:v>
      </x:c>
      <x:c r="P25" s="35" t="str">
        <x:v>首测候选</x:v>
      </x:c>
    </x:row>
    <x:row r="26" ht="30" customHeight="1">
      <x:c r="A26" s="34" t="str">
        <x:v>I021</x:v>
      </x:c>
      <x:c r="B26" s="34" t="str">
        <x:v>鸟巢</x:v>
      </x:c>
      <x:c r="C26" s="34" t="str">
        <x:v>普通</x:v>
      </x:c>
      <x:c r="D26" s="36" t="n">
        <x:v>1</x:v>
      </x:c>
      <x:c r="E26" s="34" t="str">
        <x:v>三选一</x:v>
      </x:c>
      <x:c r="F26" s="38" t="str">
        <x:v>是</x:v>
      </x:c>
      <x:c r="G26" s="38" t="str">
        <x:v>永久</x:v>
      </x:c>
      <x:c r="H26" s="34" t="str">
        <x:v>接触</x:v>
      </x:c>
      <x:c r="I26" s="34" t="str">
        <x:v>接触动物时生成1颗蛋。</x:v>
      </x:c>
      <x:c r="J26" s="34" t="str">
        <x:v>每回合1颗</x:v>
      </x:c>
      <x:c r="K26" s="34" t="str">
        <x:v>牧场</x:v>
      </x:c>
      <x:c r="L26" s="34" t="str">
        <x:v>牧场、生产者</x:v>
      </x:c>
      <x:c r="M26" s="34" t="str">
        <x:v>浅碗形</x:v>
      </x:c>
      <x:c r="N26" s="34" t="str">
        <x:v>凹槽形</x:v>
      </x:c>
      <x:c r="O26" s="34" t="str">
        <x:v>Nest（触发器!D20）</x:v>
      </x:c>
      <x:c r="P26" s="34" t="str">
        <x:v>首测候选</x:v>
      </x:c>
    </x:row>
    <x:row r="27" ht="30" customHeight="1">
      <x:c r="A27" s="35" t="str">
        <x:v>I022</x:v>
      </x:c>
      <x:c r="B27" s="35" t="str">
        <x:v>母鸡</x:v>
      </x:c>
      <x:c r="C27" s="35" t="str">
        <x:v>优秀</x:v>
      </x:c>
      <x:c r="D27" s="37" t="n">
        <x:v>2</x:v>
      </x:c>
      <x:c r="E27" s="35" t="str">
        <x:v>三选一</x:v>
      </x:c>
      <x:c r="F27" s="39" t="str">
        <x:v>是</x:v>
      </x:c>
      <x:c r="G27" s="39" t="str">
        <x:v>永久</x:v>
      </x:c>
      <x:c r="H27" s="35" t="str">
        <x:v>接触</x:v>
      </x:c>
      <x:c r="I27" s="35" t="str">
        <x:v>消耗1件谷物，生成2颗蛋。</x:v>
      </x:c>
      <x:c r="J27" s="35" t="str">
        <x:v>每回合1次</x:v>
      </x:c>
      <x:c r="K27" s="35" t="str">
        <x:v>牧场</x:v>
      </x:c>
      <x:c r="L27" s="35" t="str">
        <x:v>动物、生产者</x:v>
      </x:c>
      <x:c r="M27" s="35" t="str">
        <x:v>水滴形</x:v>
      </x:c>
      <x:c r="N27" s="35" t="str">
        <x:v>不规则形</x:v>
      </x:c>
      <x:c r="O27" s="35" t="str">
        <x:v>Chicken（触发器!D71）</x:v>
      </x:c>
      <x:c r="P27" s="35" t="str">
        <x:v>首测候选</x:v>
      </x:c>
    </x:row>
    <x:row r="28" ht="30" customHeight="1">
      <x:c r="A28" s="34" t="str">
        <x:v>I023</x:v>
      </x:c>
      <x:c r="B28" s="34" t="str">
        <x:v>谷穗</x:v>
      </x:c>
      <x:c r="C28" s="34" t="str">
        <x:v>普通</x:v>
      </x:c>
      <x:c r="D28" s="36" t="n">
        <x:v>1</x:v>
      </x:c>
      <x:c r="E28" s="34" t="str">
        <x:v>三选一</x:v>
      </x:c>
      <x:c r="F28" s="38" t="str">
        <x:v>是</x:v>
      </x:c>
      <x:c r="G28" s="38" t="str">
        <x:v>永久</x:v>
      </x:c>
      <x:c r="H28" s="34" t="str">
        <x:v>被消耗</x:v>
      </x:c>
      <x:c r="I28" s="34" t="str">
        <x:v>被动物消耗时，使该动物本回合+3。</x:v>
      </x:c>
      <x:c r="J28" s="34" t="str">
        <x:v>同一实例每回合1次</x:v>
      </x:c>
      <x:c r="K28" s="34" t="str">
        <x:v>牧场</x:v>
      </x:c>
      <x:c r="L28" s="34" t="str">
        <x:v>植物、谷物、食材</x:v>
      </x:c>
      <x:c r="M28" s="34" t="str">
        <x:v>细长形</x:v>
      </x:c>
      <x:c r="N28" s="34" t="str">
        <x:v>长条形</x:v>
      </x:c>
      <x:c r="O28" s="34" t="str">
        <x:v>Toque（增益!D27）；Harvester（触发器!D114）</x:v>
      </x:c>
      <x:c r="P28" s="34" t="str">
        <x:v>首测候选</x:v>
      </x:c>
    </x:row>
    <x:row r="29" ht="30" customHeight="1">
      <x:c r="A29" s="35" t="str">
        <x:v>I024</x:v>
      </x:c>
      <x:c r="B29" s="35" t="str">
        <x:v>奶牛</x:v>
      </x:c>
      <x:c r="C29" s="35" t="str">
        <x:v>优秀</x:v>
      </x:c>
      <x:c r="D29" s="37" t="n">
        <x:v>3</x:v>
      </x:c>
      <x:c r="E29" s="35" t="str">
        <x:v>三选一</x:v>
      </x:c>
      <x:c r="F29" s="39" t="str">
        <x:v>是</x:v>
      </x:c>
      <x:c r="G29" s="39" t="str">
        <x:v>永久</x:v>
      </x:c>
      <x:c r="H29" s="35" t="str">
        <x:v>接触</x:v>
      </x:c>
      <x:c r="I29" s="35" t="str">
        <x:v>消耗1件谷物，生成1瓶牛奶。</x:v>
      </x:c>
      <x:c r="J29" s="35" t="str">
        <x:v>每回合1次</x:v>
      </x:c>
      <x:c r="K29" s="35" t="str">
        <x:v>牧场</x:v>
      </x:c>
      <x:c r="L29" s="35" t="str">
        <x:v>动物、生产者</x:v>
      </x:c>
      <x:c r="M29" s="35" t="str">
        <x:v>长方形</x:v>
      </x:c>
      <x:c r="N29" s="35" t="str">
        <x:v>长条形</x:v>
      </x:c>
      <x:c r="O29" s="35" t="str">
        <x:v>原创</x:v>
      </x:c>
      <x:c r="P29" s="35" t="str">
        <x:v>扩展</x:v>
      </x:c>
    </x:row>
    <x:row r="30" ht="30" customHeight="1">
      <x:c r="A30" s="34" t="str">
        <x:v>I025</x:v>
      </x:c>
      <x:c r="B30" s="34" t="str">
        <x:v>绵羊</x:v>
      </x:c>
      <x:c r="C30" s="34" t="str">
        <x:v>优秀</x:v>
      </x:c>
      <x:c r="D30" s="36" t="n">
        <x:v>2</x:v>
      </x:c>
      <x:c r="E30" s="34" t="str">
        <x:v>三选一</x:v>
      </x:c>
      <x:c r="F30" s="38" t="str">
        <x:v>是</x:v>
      </x:c>
      <x:c r="G30" s="38" t="str">
        <x:v>永久</x:v>
      </x:c>
      <x:c r="H30" s="34" t="str">
        <x:v>接触</x:v>
      </x:c>
      <x:c r="I30" s="34" t="str">
        <x:v>接触工具时生成1团羊毛。</x:v>
      </x:c>
      <x:c r="J30" s="34" t="str">
        <x:v>每回合1团</x:v>
      </x:c>
      <x:c r="K30" s="34" t="str">
        <x:v>牧场</x:v>
      </x:c>
      <x:c r="L30" s="34" t="str">
        <x:v>动物、生产者</x:v>
      </x:c>
      <x:c r="M30" s="34" t="str">
        <x:v>椭圆形</x:v>
      </x:c>
      <x:c r="N30" s="34" t="str">
        <x:v>不规则形</x:v>
      </x:c>
      <x:c r="O30" s="34" t="str">
        <x:v>原创</x:v>
      </x:c>
      <x:c r="P30" s="34" t="str">
        <x:v>扩展</x:v>
      </x:c>
    </x:row>
    <x:row r="31" ht="38" customHeight="1">
      <x:c r="A31" s="35" t="str">
        <x:v>I026</x:v>
      </x:c>
      <x:c r="B31" s="35" t="str">
        <x:v>毛虫</x:v>
      </x:c>
      <x:c r="C31" s="35" t="str">
        <x:v>普通</x:v>
      </x:c>
      <x:c r="D31" s="37" t="n">
        <x:v>1</x:v>
      </x:c>
      <x:c r="E31" s="35" t="str">
        <x:v>三选一</x:v>
      </x:c>
      <x:c r="F31" s="39" t="str">
        <x:v>是</x:v>
      </x:c>
      <x:c r="G31" s="39" t="str">
        <x:v>永久</x:v>
      </x:c>
      <x:c r="H31" s="35" t="str">
        <x:v>结算末</x:v>
      </x:c>
      <x:c r="I31" s="35" t="str">
        <x:v>存活且本回合未接触工具时，永久成长1；达到3成长时，永久变为彩翼蝶。</x:v>
      </x:c>
      <x:c r="J31" s="35" t="str">
        <x:v>每回合1成长；成长不直接加分</x:v>
      </x:c>
      <x:c r="K31" s="35" t="str">
        <x:v>牧场</x:v>
      </x:c>
      <x:c r="L31" s="35" t="str">
        <x:v>动物、成长</x:v>
      </x:c>
      <x:c r="M31" s="35" t="str">
        <x:v>短长条形</x:v>
      </x:c>
      <x:c r="N31" s="35" t="str">
        <x:v>长条形</x:v>
      </x:c>
      <x:c r="O31" s="35" t="str">
        <x:v>Caterpillar（触发器!D12）；Butterfly（触发器!D105）</x:v>
      </x:c>
      <x:c r="P31" s="35" t="str">
        <x:v>扩展</x:v>
      </x:c>
    </x:row>
    <x:row r="32" ht="30" customHeight="1">
      <x:c r="A32" s="34" t="str">
        <x:v>I027</x:v>
      </x:c>
      <x:c r="B32" s="34" t="str">
        <x:v>孵化器</x:v>
      </x:c>
      <x:c r="C32" s="34" t="str">
        <x:v>稀有</x:v>
      </x:c>
      <x:c r="D32" s="36" t="n">
        <x:v>2</x:v>
      </x:c>
      <x:c r="E32" s="34" t="str">
        <x:v>三选一</x:v>
      </x:c>
      <x:c r="F32" s="38" t="str">
        <x:v>是</x:v>
      </x:c>
      <x:c r="G32" s="38" t="str">
        <x:v>永久</x:v>
      </x:c>
      <x:c r="H32" s="34" t="str">
        <x:v>接触</x:v>
      </x:c>
      <x:c r="I32" s="34" t="str">
        <x:v>接触火元素后加热。加热后，消耗接触的1颗蛋，生成1只雏鸟。</x:v>
      </x:c>
      <x:c r="J32" s="34" t="str">
        <x:v>每回合1次；不消耗加热物</x:v>
      </x:c>
      <x:c r="K32" s="34" t="str">
        <x:v>牧场</x:v>
      </x:c>
      <x:c r="L32" s="34" t="str">
        <x:v>牧场、工具、生产者</x:v>
      </x:c>
      <x:c r="M32" s="34" t="str">
        <x:v>圆角方形</x:v>
      </x:c>
      <x:c r="N32" s="34" t="str">
        <x:v>方形</x:v>
      </x:c>
      <x:c r="O32" s="34" t="str">
        <x:v>Egg Carton（触发器!D78）；Chicken（触发器!D71）</x:v>
      </x:c>
      <x:c r="P32" s="34" t="str">
        <x:v>首测候选</x:v>
      </x:c>
    </x:row>
    <x:row r="33" ht="30" customHeight="1">
      <x:c r="A33" s="35" t="str">
        <x:v>I028</x:v>
      </x:c>
      <x:c r="B33" s="35" t="str">
        <x:v>牧羊犬</x:v>
      </x:c>
      <x:c r="C33" s="35" t="str">
        <x:v>普通</x:v>
      </x:c>
      <x:c r="D33" s="37" t="n">
        <x:v>2</x:v>
      </x:c>
      <x:c r="E33" s="35" t="str">
        <x:v>三选一</x:v>
      </x:c>
      <x:c r="F33" s="39" t="str">
        <x:v>是</x:v>
      </x:c>
      <x:c r="G33" s="39" t="str">
        <x:v>永久</x:v>
      </x:c>
      <x:c r="H33" s="35" t="str">
        <x:v>接触</x:v>
      </x:c>
      <x:c r="I33" s="35" t="str">
        <x:v>接触其他动物时，使其本回合+2；若该动物本回合已生产过物品，自己再+2。</x:v>
      </x:c>
      <x:c r="J33" s="35" t="str">
        <x:v>每目标1次；最多4个</x:v>
      </x:c>
      <x:c r="K33" s="35" t="str">
        <x:v>牧场</x:v>
      </x:c>
      <x:c r="L33" s="35" t="str">
        <x:v>动物、牧场辅助</x:v>
      </x:c>
      <x:c r="M33" s="35" t="str">
        <x:v>不规则椭圆</x:v>
      </x:c>
      <x:c r="N33" s="35" t="str">
        <x:v>不规则形</x:v>
      </x:c>
      <x:c r="O33" s="35" t="str">
        <x:v>原创</x:v>
      </x:c>
      <x:c r="P33" s="35" t="str">
        <x:v>首测候选</x:v>
      </x:c>
    </x:row>
    <x:row r="34" ht="30" customHeight="1">
      <x:c r="A34" s="34" t="str">
        <x:v>I029</x:v>
      </x:c>
      <x:c r="B34" s="34" t="str">
        <x:v>蛋托</x:v>
      </x:c>
      <x:c r="C34" s="34" t="str">
        <x:v>优秀</x:v>
      </x:c>
      <x:c r="D34" s="36" t="n">
        <x:v>1</x:v>
      </x:c>
      <x:c r="E34" s="34" t="str">
        <x:v>三选一</x:v>
      </x:c>
      <x:c r="F34" s="38" t="str">
        <x:v>是</x:v>
      </x:c>
      <x:c r="G34" s="38" t="str">
        <x:v>永久</x:v>
      </x:c>
      <x:c r="H34" s="34" t="str">
        <x:v>结算加分</x:v>
      </x:c>
      <x:c r="I34" s="34" t="str">
        <x:v>相接触的蛋各本回合+3；同时接触至少2颗蛋时，自己再+4。</x:v>
      </x:c>
      <x:c r="J34" s="34" t="str">
        <x:v>最多影响3颗；蛋留在瓶中</x:v>
      </x:c>
      <x:c r="K34" s="34" t="str">
        <x:v>牧场</x:v>
      </x:c>
      <x:c r="L34" s="34" t="str">
        <x:v>牧场、辅助</x:v>
      </x:c>
      <x:c r="M34" s="34" t="str">
        <x:v>凹槽长条</x:v>
      </x:c>
      <x:c r="N34" s="34" t="str">
        <x:v>凹槽形</x:v>
      </x:c>
      <x:c r="O34" s="34" t="str">
        <x:v>Egg Carton（触发器!D78）</x:v>
      </x:c>
      <x:c r="P34" s="34" t="str">
        <x:v>扩展</x:v>
      </x:c>
    </x:row>
    <x:row r="35" ht="38" customHeight="1">
      <x:c r="A35" s="35" t="str">
        <x:v>I030</x:v>
      </x:c>
      <x:c r="B35" s="35" t="str">
        <x:v>牧场牌</x:v>
      </x:c>
      <x:c r="C35" s="35" t="str">
        <x:v>史诗</x:v>
      </x:c>
      <x:c r="D35" s="37" t="n">
        <x:v>3</x:v>
      </x:c>
      <x:c r="E35" s="35" t="str">
        <x:v>三选一</x:v>
      </x:c>
      <x:c r="F35" s="39" t="str">
        <x:v>是</x:v>
      </x:c>
      <x:c r="G35" s="39" t="str">
        <x:v>永久</x:v>
      </x:c>
      <x:c r="H35" s="35" t="str">
        <x:v>结算加分</x:v>
      </x:c>
      <x:c r="I35" s="35" t="str">
        <x:v>场上每有1种蛋、双黄蛋、牛奶或羊毛，使所有存活动物各本回合+2。</x:v>
      </x:c>
      <x:c r="J35" s="35" t="str">
        <x:v>最多计3种；只计当前瓶中物品</x:v>
      </x:c>
      <x:c r="K35" s="35" t="str">
        <x:v>牧场</x:v>
      </x:c>
      <x:c r="L35" s="35" t="str">
        <x:v>牧场、结算核心</x:v>
      </x:c>
      <x:c r="M35" s="35" t="str">
        <x:v>六边形</x:v>
      </x:c>
      <x:c r="N35" s="35" t="str">
        <x:v>不规则形</x:v>
      </x:c>
      <x:c r="O35" s="35" t="str">
        <x:v>Chicken（触发器!D71）；Cash Register（触发器!D36）</x:v>
      </x:c>
      <x:c r="P35" s="35" t="str">
        <x:v>扩展</x:v>
      </x:c>
    </x:row>
    <x:row r="36" ht="30" customHeight="1">
      <x:c r="A36" s="34" t="str">
        <x:v>I031</x:v>
      </x:c>
      <x:c r="B36" s="34" t="str">
        <x:v>碎石</x:v>
      </x:c>
      <x:c r="C36" s="34" t="str">
        <x:v>普通</x:v>
      </x:c>
      <x:c r="D36" s="36" t="n">
        <x:v>2</x:v>
      </x:c>
      <x:c r="E36" s="34" t="str">
        <x:v>三选一</x:v>
      </x:c>
      <x:c r="F36" s="38" t="str">
        <x:v>是</x:v>
      </x:c>
      <x:c r="G36" s="38" t="str">
        <x:v>永久</x:v>
      </x:c>
      <x:c r="H36" s="34" t="str">
        <x:v>被消耗</x:v>
      </x:c>
      <x:c r="I36" s="34" t="str">
        <x:v>被矿业物品消耗时，额外记分3。</x:v>
      </x:c>
      <x:c r="J36" s="34" t="str">
        <x:v>同一实例每回合1次</x:v>
      </x:c>
      <x:c r="K36" s="34" t="str">
        <x:v>矿业</x:v>
      </x:c>
      <x:c r="L36" s="34" t="str">
        <x:v>矿石、原料</x:v>
      </x:c>
      <x:c r="M36" s="34" t="str">
        <x:v>不规则多边形</x:v>
      </x:c>
      <x:c r="N36" s="34" t="str">
        <x:v>不规则形</x:v>
      </x:c>
      <x:c r="O36" s="34" t="str">
        <x:v>Cairn（触发器!D34）</x:v>
      </x:c>
      <x:c r="P36" s="34" t="str">
        <x:v>首测候选</x:v>
      </x:c>
    </x:row>
    <x:row r="37" ht="30" customHeight="1">
      <x:c r="A37" s="35" t="str">
        <x:v>I032</x:v>
      </x:c>
      <x:c r="B37" s="35" t="str">
        <x:v>铜矿块</x:v>
      </x:c>
      <x:c r="C37" s="35" t="str">
        <x:v>普通</x:v>
      </x:c>
      <x:c r="D37" s="37" t="n">
        <x:v>3</x:v>
      </x:c>
      <x:c r="E37" s="35" t="str">
        <x:v>三选一</x:v>
      </x:c>
      <x:c r="F37" s="39" t="str">
        <x:v>是</x:v>
      </x:c>
      <x:c r="G37" s="39" t="str">
        <x:v>永久</x:v>
      </x:c>
      <x:c r="H37" s="35" t="str">
        <x:v>接触</x:v>
      </x:c>
      <x:c r="I37" s="35" t="str">
        <x:v>首次接触工具时，自己本回合+2。</x:v>
      </x:c>
      <x:c r="J37" s="35" t="str">
        <x:v>每回合1次</x:v>
      </x:c>
      <x:c r="K37" s="35" t="str">
        <x:v>矿业</x:v>
      </x:c>
      <x:c r="L37" s="35" t="str">
        <x:v>矿石、原料</x:v>
      </x:c>
      <x:c r="M37" s="35" t="str">
        <x:v>钝三角形</x:v>
      </x:c>
      <x:c r="N37" s="35" t="str">
        <x:v>三角形</x:v>
      </x:c>
      <x:c r="O37" s="35" t="str">
        <x:v>Rock Crusher（触发器!D92）</x:v>
      </x:c>
      <x:c r="P37" s="35" t="str">
        <x:v>扩展</x:v>
      </x:c>
    </x:row>
    <x:row r="38" ht="30" customHeight="1">
      <x:c r="A38" s="34" t="str">
        <x:v>I033</x:v>
      </x:c>
      <x:c r="B38" s="34" t="str">
        <x:v>铁矿块</x:v>
      </x:c>
      <x:c r="C38" s="34" t="str">
        <x:v>优秀</x:v>
      </x:c>
      <x:c r="D38" s="36" t="n">
        <x:v>4</x:v>
      </x:c>
      <x:c r="E38" s="34" t="str">
        <x:v>三选一</x:v>
      </x:c>
      <x:c r="F38" s="38" t="str">
        <x:v>是</x:v>
      </x:c>
      <x:c r="G38" s="38" t="str">
        <x:v>永久</x:v>
      </x:c>
      <x:c r="H38" s="34" t="str">
        <x:v>被消耗</x:v>
      </x:c>
      <x:c r="I38" s="34" t="str">
        <x:v>被熔炉消耗时，使该熔炉本回合+3。</x:v>
      </x:c>
      <x:c r="J38" s="34" t="str">
        <x:v>同一实例每回合1次</x:v>
      </x:c>
      <x:c r="K38" s="34" t="str">
        <x:v>矿业</x:v>
      </x:c>
      <x:c r="L38" s="34" t="str">
        <x:v>矿石、原料</x:v>
      </x:c>
      <x:c r="M38" s="34" t="str">
        <x:v>方形</x:v>
      </x:c>
      <x:c r="N38" s="34" t="str">
        <x:v>方形</x:v>
      </x:c>
      <x:c r="O38" s="34" t="str">
        <x:v>原创</x:v>
      </x:c>
      <x:c r="P38" s="34" t="str">
        <x:v>扩展</x:v>
      </x:c>
    </x:row>
    <x:row r="39" ht="30" customHeight="1">
      <x:c r="A39" s="35" t="str">
        <x:v>I034</x:v>
      </x:c>
      <x:c r="B39" s="35" t="str">
        <x:v>宝石原胚</x:v>
      </x:c>
      <x:c r="C39" s="35" t="str">
        <x:v>优秀</x:v>
      </x:c>
      <x:c r="D39" s="37" t="n">
        <x:v>2</x:v>
      </x:c>
      <x:c r="E39" s="35" t="str">
        <x:v>三选一</x:v>
      </x:c>
      <x:c r="F39" s="39" t="str">
        <x:v>是</x:v>
      </x:c>
      <x:c r="G39" s="39" t="str">
        <x:v>永久</x:v>
      </x:c>
      <x:c r="H39" s="35" t="str">
        <x:v>接触</x:v>
      </x:c>
      <x:c r="I39" s="35" t="str">
        <x:v>接触鉴定师时，消耗自己，生成1颗基础分为8的晶屑。</x:v>
      </x:c>
      <x:c r="J39" s="35" t="str">
        <x:v>同一实例每回合1次</x:v>
      </x:c>
      <x:c r="K39" s="35" t="str">
        <x:v>矿业</x:v>
      </x:c>
      <x:c r="L39" s="35" t="str">
        <x:v>矿石、原料、生产者</x:v>
      </x:c>
      <x:c r="M39" s="35" t="str">
        <x:v>菱形</x:v>
      </x:c>
      <x:c r="N39" s="35" t="str">
        <x:v>不规则形</x:v>
      </x:c>
      <x:c r="O39" s="35" t="str">
        <x:v>Gem Mine（触发器!D79）</x:v>
      </x:c>
      <x:c r="P39" s="35" t="str">
        <x:v>扩展</x:v>
      </x:c>
    </x:row>
    <x:row r="40" ht="30" customHeight="1">
      <x:c r="A40" s="34" t="str">
        <x:v>I035</x:v>
      </x:c>
      <x:c r="B40" s="34" t="str">
        <x:v>采石袋</x:v>
      </x:c>
      <x:c r="C40" s="34" t="str">
        <x:v>普通</x:v>
      </x:c>
      <x:c r="D40" s="36" t="n">
        <x:v>1</x:v>
      </x:c>
      <x:c r="E40" s="34" t="str">
        <x:v>三选一</x:v>
      </x:c>
      <x:c r="F40" s="38" t="str">
        <x:v>是</x:v>
      </x:c>
      <x:c r="G40" s="38" t="str">
        <x:v>永久</x:v>
      </x:c>
      <x:c r="H40" s="34" t="str">
        <x:v>接触</x:v>
      </x:c>
      <x:c r="I40" s="34" t="str">
        <x:v>接触矿石时生成1颗小石子。</x:v>
      </x:c>
      <x:c r="J40" s="34" t="str">
        <x:v>每回合1颗</x:v>
      </x:c>
      <x:c r="K40" s="34" t="str">
        <x:v>矿业</x:v>
      </x:c>
      <x:c r="L40" s="34" t="str">
        <x:v>矿业、生产者</x:v>
      </x:c>
      <x:c r="M40" s="34" t="str">
        <x:v>圆袋形</x:v>
      </x:c>
      <x:c r="N40" s="34" t="str">
        <x:v>不规则形</x:v>
      </x:c>
      <x:c r="O40" s="34" t="str">
        <x:v>Avalanche（触发器!D30）</x:v>
      </x:c>
      <x:c r="P40" s="34" t="str">
        <x:v>首测候选</x:v>
      </x:c>
    </x:row>
    <x:row r="41" ht="30" customHeight="1">
      <x:c r="A41" s="35" t="str">
        <x:v>I036</x:v>
      </x:c>
      <x:c r="B41" s="35" t="str">
        <x:v>矿工镐</x:v>
      </x:c>
      <x:c r="C41" s="35" t="str">
        <x:v>优秀</x:v>
      </x:c>
      <x:c r="D41" s="37" t="n">
        <x:v>2</x:v>
      </x:c>
      <x:c r="E41" s="35" t="str">
        <x:v>三选一</x:v>
      </x:c>
      <x:c r="F41" s="39" t="str">
        <x:v>是</x:v>
      </x:c>
      <x:c r="G41" s="39" t="str">
        <x:v>永久</x:v>
      </x:c>
      <x:c r="H41" s="35" t="str">
        <x:v>接触</x:v>
      </x:c>
      <x:c r="I41" s="35" t="str">
        <x:v>消耗1件原料矿石，生成2颗小石子。</x:v>
      </x:c>
      <x:c r="J41" s="35" t="str">
        <x:v>每回合1次；只处理有原料标签的矿石</x:v>
      </x:c>
      <x:c r="K41" s="35" t="str">
        <x:v>矿业</x:v>
      </x:c>
      <x:c r="L41" s="35" t="str">
        <x:v>矿业、工具、生产者</x:v>
      </x:c>
      <x:c r="M41" s="35" t="str">
        <x:v>丁字形</x:v>
      </x:c>
      <x:c r="N41" s="35" t="str">
        <x:v>不规则形</x:v>
      </x:c>
      <x:c r="O41" s="35" t="str">
        <x:v>Rock Crusher（触发器!D92）；Axe（触发器!D68）</x:v>
      </x:c>
      <x:c r="P41" s="35" t="str">
        <x:v>首测候选</x:v>
      </x:c>
    </x:row>
    <x:row r="42" ht="38" customHeight="1">
      <x:c r="A42" s="34" t="str">
        <x:v>I037</x:v>
      </x:c>
      <x:c r="B42" s="34" t="str">
        <x:v>碎石机</x:v>
      </x:c>
      <x:c r="C42" s="34" t="str">
        <x:v>稀有</x:v>
      </x:c>
      <x:c r="D42" s="36" t="n">
        <x:v>2</x:v>
      </x:c>
      <x:c r="E42" s="34" t="str">
        <x:v>三选一</x:v>
      </x:c>
      <x:c r="F42" s="38" t="str">
        <x:v>是</x:v>
      </x:c>
      <x:c r="G42" s="38" t="str">
        <x:v>永久</x:v>
      </x:c>
      <x:c r="H42" s="34" t="str">
        <x:v>接触</x:v>
      </x:c>
      <x:c r="I42" s="34" t="str">
        <x:v>消耗1颗小石子，75%生成1颗晶屑，25%生成1块金砂。</x:v>
      </x:c>
      <x:c r="J42" s="34" t="str">
        <x:v>每回合最多2次</x:v>
      </x:c>
      <x:c r="K42" s="34" t="str">
        <x:v>矿业</x:v>
      </x:c>
      <x:c r="L42" s="34" t="str">
        <x:v>矿业、工具、生产者</x:v>
      </x:c>
      <x:c r="M42" s="34" t="str">
        <x:v>齿轮形</x:v>
      </x:c>
      <x:c r="N42" s="34" t="str">
        <x:v>不规则形</x:v>
      </x:c>
      <x:c r="O42" s="34" t="str">
        <x:v>Rock Crusher（触发器!D92）；Gem Mine（触发器!D79）</x:v>
      </x:c>
      <x:c r="P42" s="34" t="str">
        <x:v>首测候选</x:v>
      </x:c>
    </x:row>
    <x:row r="43" ht="30" customHeight="1">
      <x:c r="A43" s="35" t="str">
        <x:v>I038</x:v>
      </x:c>
      <x:c r="B43" s="35" t="str">
        <x:v>熔炉</x:v>
      </x:c>
      <x:c r="C43" s="35" t="str">
        <x:v>稀有</x:v>
      </x:c>
      <x:c r="D43" s="37" t="n">
        <x:v>2</x:v>
      </x:c>
      <x:c r="E43" s="35" t="str">
        <x:v>三选一</x:v>
      </x:c>
      <x:c r="F43" s="39" t="str">
        <x:v>是</x:v>
      </x:c>
      <x:c r="G43" s="39" t="str">
        <x:v>永久</x:v>
      </x:c>
      <x:c r="H43" s="35" t="str">
        <x:v>接触</x:v>
      </x:c>
      <x:c r="I43" s="35" t="str">
        <x:v>接触火元素后点燃。点燃后，消耗接触的1件矿石，生成1块基础分10的金属锭。</x:v>
      </x:c>
      <x:c r="J43" s="35" t="str">
        <x:v>每回合1次；不消耗点火物</x:v>
      </x:c>
      <x:c r="K43" s="35" t="str">
        <x:v>矿业</x:v>
      </x:c>
      <x:c r="L43" s="35" t="str">
        <x:v>矿业、工具、生产者</x:v>
      </x:c>
      <x:c r="M43" s="35" t="str">
        <x:v>方炉形</x:v>
      </x:c>
      <x:c r="N43" s="35" t="str">
        <x:v>方形</x:v>
      </x:c>
      <x:c r="O43" s="35" t="str">
        <x:v>Kiln（触发器!D83）</x:v>
      </x:c>
      <x:c r="P43" s="35" t="str">
        <x:v>首测候选</x:v>
      </x:c>
    </x:row>
    <x:row r="44" ht="30" customHeight="1">
      <x:c r="A44" s="34" t="str">
        <x:v>I039</x:v>
      </x:c>
      <x:c r="B44" s="34" t="str">
        <x:v>铁砧</x:v>
      </x:c>
      <x:c r="C44" s="34" t="str">
        <x:v>优秀</x:v>
      </x:c>
      <x:c r="D44" s="36" t="n">
        <x:v>2</x:v>
      </x:c>
      <x:c r="E44" s="34" t="str">
        <x:v>三选一</x:v>
      </x:c>
      <x:c r="F44" s="38" t="str">
        <x:v>是</x:v>
      </x:c>
      <x:c r="G44" s="38" t="str">
        <x:v>永久</x:v>
      </x:c>
      <x:c r="H44" s="34" t="str">
        <x:v>接触</x:v>
      </x:c>
      <x:c r="I44" s="34" t="str">
        <x:v>使接触的金属或矿石本回合+3。</x:v>
      </x:c>
      <x:c r="J44" s="34" t="str">
        <x:v>每目标1次；最多4件</x:v>
      </x:c>
      <x:c r="K44" s="34" t="str">
        <x:v>矿业</x:v>
      </x:c>
      <x:c r="L44" s="34" t="str">
        <x:v>矿业、工具</x:v>
      </x:c>
      <x:c r="M44" s="34" t="str">
        <x:v>梯形</x:v>
      </x:c>
      <x:c r="N44" s="34" t="str">
        <x:v>不规则形</x:v>
      </x:c>
      <x:c r="O44" s="34" t="str">
        <x:v>原创</x:v>
      </x:c>
      <x:c r="P44" s="34" t="str">
        <x:v>扩展</x:v>
      </x:c>
    </x:row>
    <x:row r="45" ht="30" customHeight="1">
      <x:c r="A45" s="35" t="str">
        <x:v>I040</x:v>
      </x:c>
      <x:c r="B45" s="35" t="str">
        <x:v>鉴定师</x:v>
      </x:c>
      <x:c r="C45" s="35" t="str">
        <x:v>史诗</x:v>
      </x:c>
      <x:c r="D45" s="37" t="n">
        <x:v>3</x:v>
      </x:c>
      <x:c r="E45" s="35" t="str">
        <x:v>三选一</x:v>
      </x:c>
      <x:c r="F45" s="39" t="str">
        <x:v>是</x:v>
      </x:c>
      <x:c r="G45" s="39" t="str">
        <x:v>永久</x:v>
      </x:c>
      <x:c r="H45" s="35" t="str">
        <x:v>结算倍率</x:v>
      </x:c>
      <x:c r="I45" s="35" t="str">
        <x:v>场上宝石名称至少3种时，宝石各获得+50%结算倍率。</x:v>
      </x:c>
      <x:c r="J45" s="35" t="str">
        <x:v>最多影响6件；按冻结值从高到低</x:v>
      </x:c>
      <x:c r="K45" s="35" t="str">
        <x:v>矿业</x:v>
      </x:c>
      <x:c r="L45" s="35" t="str">
        <x:v>矿业、结算核心</x:v>
      </x:c>
      <x:c r="M45" s="35" t="str">
        <x:v>棋子形</x:v>
      </x:c>
      <x:c r="N45" s="35" t="str">
        <x:v>不规则形</x:v>
      </x:c>
      <x:c r="O45" s="35" t="str">
        <x:v>Gem Mine（触发器!D79）；Museum（触发器!D87）</x:v>
      </x:c>
      <x:c r="P45" s="35" t="str">
        <x:v>扩展</x:v>
      </x:c>
    </x:row>
    <x:row r="46" ht="30" customHeight="1">
      <x:c r="A46" s="34" t="str">
        <x:v>I041</x:v>
      </x:c>
      <x:c r="B46" s="34" t="str">
        <x:v>火种</x:v>
      </x:c>
      <x:c r="C46" s="34" t="str">
        <x:v>普通</x:v>
      </x:c>
      <x:c r="D46" s="36" t="n">
        <x:v>2</x:v>
      </x:c>
      <x:c r="E46" s="34" t="str">
        <x:v>三选一</x:v>
      </x:c>
      <x:c r="F46" s="38" t="str">
        <x:v>是</x:v>
      </x:c>
      <x:c r="G46" s="38" t="str">
        <x:v>永久</x:v>
      </x:c>
      <x:c r="H46" s="34" t="str">
        <x:v>接触</x:v>
      </x:c>
      <x:c r="I46" s="34" t="str">
        <x:v>使首次接触的非元素物品本回合+2。</x:v>
      </x:c>
      <x:c r="J46" s="34" t="str">
        <x:v>每回合1个目标</x:v>
      </x:c>
      <x:c r="K46" s="34" t="str">
        <x:v>元素</x:v>
      </x:c>
      <x:c r="L46" s="34" t="str">
        <x:v>火元素</x:v>
      </x:c>
      <x:c r="M46" s="34" t="str">
        <x:v>水滴形</x:v>
      </x:c>
      <x:c r="N46" s="34" t="str">
        <x:v>不规则形</x:v>
      </x:c>
      <x:c r="O46" s="34" t="str">
        <x:v>Spell of Ignition（触发器!D124）</x:v>
      </x:c>
      <x:c r="P46" s="34" t="str">
        <x:v>首测候选</x:v>
      </x:c>
    </x:row>
    <x:row r="47" ht="30" customHeight="1">
      <x:c r="A47" s="35" t="str">
        <x:v>I042</x:v>
      </x:c>
      <x:c r="B47" s="35" t="str">
        <x:v>冰块</x:v>
      </x:c>
      <x:c r="C47" s="35" t="str">
        <x:v>普通</x:v>
      </x:c>
      <x:c r="D47" s="37" t="n">
        <x:v>2</x:v>
      </x:c>
      <x:c r="E47" s="35" t="str">
        <x:v>三选一</x:v>
      </x:c>
      <x:c r="F47" s="39" t="str">
        <x:v>是</x:v>
      </x:c>
      <x:c r="G47" s="39" t="str">
        <x:v>永久</x:v>
      </x:c>
      <x:c r="H47" s="35" t="str">
        <x:v>接触</x:v>
      </x:c>
      <x:c r="I47" s="35" t="str">
        <x:v>接触火元素时消耗自己，生成2颗水珠。</x:v>
      </x:c>
      <x:c r="J47" s="35" t="str">
        <x:v>同一实例每回合1次；不消耗火元素</x:v>
      </x:c>
      <x:c r="K47" s="35" t="str">
        <x:v>元素</x:v>
      </x:c>
      <x:c r="L47" s="35" t="str">
        <x:v>水元素、生产者</x:v>
      </x:c>
      <x:c r="M47" s="35" t="str">
        <x:v>方形</x:v>
      </x:c>
      <x:c r="N47" s="35" t="str">
        <x:v>方形</x:v>
      </x:c>
      <x:c r="O47" s="35" t="str">
        <x:v>Ice Cubes（触发器!D16）</x:v>
      </x:c>
      <x:c r="P47" s="35" t="str">
        <x:v>首测候选</x:v>
      </x:c>
    </x:row>
    <x:row r="48" ht="30" customHeight="1">
      <x:c r="A48" s="34" t="str">
        <x:v>I043</x:v>
      </x:c>
      <x:c r="B48" s="34" t="str">
        <x:v>换热器</x:v>
      </x:c>
      <x:c r="C48" s="34" t="str">
        <x:v>优秀</x:v>
      </x:c>
      <x:c r="D48" s="36" t="n">
        <x:v>2</x:v>
      </x:c>
      <x:c r="E48" s="34" t="str">
        <x:v>三选一</x:v>
      </x:c>
      <x:c r="F48" s="38" t="str">
        <x:v>是</x:v>
      </x:c>
      <x:c r="G48" s="38" t="str">
        <x:v>永久</x:v>
      </x:c>
      <x:c r="H48" s="34" t="str">
        <x:v>接触</x:v>
      </x:c>
      <x:c r="I48" s="34" t="str">
        <x:v>消耗1颗水珠，临时生成1颗火星，并记分4。</x:v>
      </x:c>
      <x:c r="J48" s="34" t="str">
        <x:v>每回合最多2次</x:v>
      </x:c>
      <x:c r="K48" s="34" t="str">
        <x:v>元素</x:v>
      </x:c>
      <x:c r="L48" s="34" t="str">
        <x:v>元素、工具、生产者</x:v>
      </x:c>
      <x:c r="M48" s="34" t="str">
        <x:v>圆角长方形</x:v>
      </x:c>
      <x:c r="N48" s="34" t="str">
        <x:v>长条形</x:v>
      </x:c>
      <x:c r="O48" s="34" t="str">
        <x:v>Radiator（触发器!D23）</x:v>
      </x:c>
      <x:c r="P48" s="34" t="str">
        <x:v>首测候选</x:v>
      </x:c>
    </x:row>
    <x:row r="49" ht="30" customHeight="1">
      <x:c r="A49" s="35" t="str">
        <x:v>I044</x:v>
      </x:c>
      <x:c r="B49" s="35" t="str">
        <x:v>蜡烛</x:v>
      </x:c>
      <x:c r="C49" s="35" t="str">
        <x:v>优秀</x:v>
      </x:c>
      <x:c r="D49" s="37" t="n">
        <x:v>2</x:v>
      </x:c>
      <x:c r="E49" s="35" t="str">
        <x:v>三选一</x:v>
      </x:c>
      <x:c r="F49" s="39" t="str">
        <x:v>是</x:v>
      </x:c>
      <x:c r="G49" s="39" t="str">
        <x:v>永久</x:v>
      </x:c>
      <x:c r="H49" s="35" t="str">
        <x:v>接触及结算倍率</x:v>
      </x:c>
      <x:c r="I49" s="35" t="str">
        <x:v>接触火元素后点亮；结算时相接触的非元素物品各获得+50%倍率。</x:v>
      </x:c>
      <x:c r="J49" s="35" t="str">
        <x:v>最多影响3件；点亮不消耗火元素</x:v>
      </x:c>
      <x:c r="K49" s="35" t="str">
        <x:v>元素</x:v>
      </x:c>
      <x:c r="L49" s="35" t="str">
        <x:v>元素、辅助</x:v>
      </x:c>
      <x:c r="M49" s="35" t="str">
        <x:v>细长形</x:v>
      </x:c>
      <x:c r="N49" s="35" t="str">
        <x:v>长条形</x:v>
      </x:c>
      <x:c r="O49" s="35" t="str">
        <x:v>Candle（触发器!D11）</x:v>
      </x:c>
      <x:c r="P49" s="35" t="str">
        <x:v>首测候选</x:v>
      </x:c>
    </x:row>
    <x:row r="50" ht="30" customHeight="1">
      <x:c r="A50" s="34" t="str">
        <x:v>I045</x:v>
      </x:c>
      <x:c r="B50" s="34" t="str">
        <x:v>小火山</x:v>
      </x:c>
      <x:c r="C50" s="34" t="str">
        <x:v>稀有</x:v>
      </x:c>
      <x:c r="D50" s="36" t="n">
        <x:v>3</x:v>
      </x:c>
      <x:c r="E50" s="34" t="str">
        <x:v>三选一</x:v>
      </x:c>
      <x:c r="F50" s="38" t="str">
        <x:v>是</x:v>
      </x:c>
      <x:c r="G50" s="38" t="str">
        <x:v>永久</x:v>
      </x:c>
      <x:c r="H50" s="34" t="str">
        <x:v>接触</x:v>
      </x:c>
      <x:c r="I50" s="34" t="str">
        <x:v>消耗1件矿石，临时生成2颗火星，并记分等于该矿石当前值+4。</x:v>
      </x:c>
      <x:c r="J50" s="34" t="str">
        <x:v>每回合最多2次</x:v>
      </x:c>
      <x:c r="K50" s="34" t="str">
        <x:v>元素</x:v>
      </x:c>
      <x:c r="L50" s="34" t="str">
        <x:v>元素、生产者</x:v>
      </x:c>
      <x:c r="M50" s="34" t="str">
        <x:v>三角形</x:v>
      </x:c>
      <x:c r="N50" s="34" t="str">
        <x:v>三角形</x:v>
      </x:c>
      <x:c r="O50" s="34" t="str">
        <x:v>Volcano（触发器!D62）</x:v>
      </x:c>
      <x:c r="P50" s="34" t="str">
        <x:v>扩展</x:v>
      </x:c>
    </x:row>
    <x:row r="51" ht="30" customHeight="1">
      <x:c r="A51" s="35" t="str">
        <x:v>I046</x:v>
      </x:c>
      <x:c r="B51" s="35" t="str">
        <x:v>泉眼</x:v>
      </x:c>
      <x:c r="C51" s="35" t="str">
        <x:v>普通</x:v>
      </x:c>
      <x:c r="D51" s="37" t="n">
        <x:v>1</x:v>
      </x:c>
      <x:c r="E51" s="35" t="str">
        <x:v>三选一</x:v>
      </x:c>
      <x:c r="F51" s="39" t="str">
        <x:v>是</x:v>
      </x:c>
      <x:c r="G51" s="39" t="str">
        <x:v>永久</x:v>
      </x:c>
      <x:c r="H51" s="35" t="str">
        <x:v>接触</x:v>
      </x:c>
      <x:c r="I51" s="35" t="str">
        <x:v>接触矿石时生成1颗水珠；接触植物时，使该植物本回合+2。</x:v>
      </x:c>
      <x:c r="J51" s="35" t="str">
        <x:v>每回合生成1次；每植物1次，最多3件</x:v>
      </x:c>
      <x:c r="K51" s="35" t="str">
        <x:v>元素</x:v>
      </x:c>
      <x:c r="L51" s="35" t="str">
        <x:v>元素、生产者</x:v>
      </x:c>
      <x:c r="M51" s="35" t="str">
        <x:v>圆形</x:v>
      </x:c>
      <x:c r="N51" s="35" t="str">
        <x:v>圆形</x:v>
      </x:c>
      <x:c r="O51" s="35" t="str">
        <x:v>Lake（触发器!D49）</x:v>
      </x:c>
      <x:c r="P51" s="35" t="str">
        <x:v>扩展</x:v>
      </x:c>
    </x:row>
    <x:row r="52" ht="30" customHeight="1">
      <x:c r="A52" s="34" t="str">
        <x:v>I047</x:v>
      </x:c>
      <x:c r="B52" s="34" t="str">
        <x:v>火把</x:v>
      </x:c>
      <x:c r="C52" s="34" t="str">
        <x:v>优秀</x:v>
      </x:c>
      <x:c r="D52" s="36" t="n">
        <x:v>2</x:v>
      </x:c>
      <x:c r="E52" s="34" t="str">
        <x:v>三选一</x:v>
      </x:c>
      <x:c r="F52" s="38" t="str">
        <x:v>是</x:v>
      </x:c>
      <x:c r="G52" s="38" t="str">
        <x:v>永久</x:v>
      </x:c>
      <x:c r="H52" s="34" t="str">
        <x:v>接触</x:v>
      </x:c>
      <x:c r="I52" s="34" t="str">
        <x:v>使接触的1件非元素物品在本回合额外视为火元素。</x:v>
      </x:c>
      <x:c r="J52" s="34" t="str">
        <x:v>每回合最多2件；显示火焰特效</x:v>
      </x:c>
      <x:c r="K52" s="34" t="str">
        <x:v>元素</x:v>
      </x:c>
      <x:c r="L52" s="34" t="str">
        <x:v>火元素、装备</x:v>
      </x:c>
      <x:c r="M52" s="34" t="str">
        <x:v>长棒形</x:v>
      </x:c>
      <x:c r="N52" s="34" t="str">
        <x:v>长条形</x:v>
      </x:c>
      <x:c r="O52" s="34" t="str">
        <x:v>Torch（触发器!D60）</x:v>
      </x:c>
      <x:c r="P52" s="34" t="str">
        <x:v>扩展</x:v>
      </x:c>
    </x:row>
    <x:row r="53" ht="30" customHeight="1">
      <x:c r="A53" s="35" t="str">
        <x:v>I048</x:v>
      </x:c>
      <x:c r="B53" s="35" t="str">
        <x:v>风箱</x:v>
      </x:c>
      <x:c r="C53" s="35" t="str">
        <x:v>优秀</x:v>
      </x:c>
      <x:c r="D53" s="37" t="n">
        <x:v>2</x:v>
      </x:c>
      <x:c r="E53" s="35" t="str">
        <x:v>三选一</x:v>
      </x:c>
      <x:c r="F53" s="39" t="str">
        <x:v>是</x:v>
      </x:c>
      <x:c r="G53" s="39" t="str">
        <x:v>永久</x:v>
      </x:c>
      <x:c r="H53" s="35" t="str">
        <x:v>接触</x:v>
      </x:c>
      <x:c r="I53" s="35" t="str">
        <x:v>接触火元素时，双方本回合各+2。</x:v>
      </x:c>
      <x:c r="J53" s="35" t="str">
        <x:v>每目标1次；最多4个</x:v>
      </x:c>
      <x:c r="K53" s="35" t="str">
        <x:v>元素</x:v>
      </x:c>
      <x:c r="L53" s="35" t="str">
        <x:v>元素、工具</x:v>
      </x:c>
      <x:c r="M53" s="35" t="str">
        <x:v>扇形</x:v>
      </x:c>
      <x:c r="N53" s="35" t="str">
        <x:v>不规则形</x:v>
      </x:c>
      <x:c r="O53" s="35" t="str">
        <x:v>Capacitor（触发器!D35）</x:v>
      </x:c>
      <x:c r="P53" s="35" t="str">
        <x:v>扩展</x:v>
      </x:c>
    </x:row>
    <x:row r="54" ht="30" customHeight="1">
      <x:c r="A54" s="34" t="str">
        <x:v>I049</x:v>
      </x:c>
      <x:c r="B54" s="34" t="str">
        <x:v>鞭炮</x:v>
      </x:c>
      <x:c r="C54" s="34" t="str">
        <x:v>稀有</x:v>
      </x:c>
      <x:c r="D54" s="36" t="n">
        <x:v>1</x:v>
      </x:c>
      <x:c r="E54" s="34" t="str">
        <x:v>三选一</x:v>
      </x:c>
      <x:c r="F54" s="38" t="str">
        <x:v>是</x:v>
      </x:c>
      <x:c r="G54" s="38" t="str">
        <x:v>永久</x:v>
      </x:c>
      <x:c r="H54" s="34" t="str">
        <x:v>接触</x:v>
      </x:c>
      <x:c r="I54" s="34" t="str">
        <x:v>接触火元素时消耗自己，临时生成3颗礼花。</x:v>
      </x:c>
      <x:c r="J54" s="34" t="str">
        <x:v>同一实例每回合1次；不消耗点火物</x:v>
      </x:c>
      <x:c r="K54" s="34" t="str">
        <x:v>元素</x:v>
      </x:c>
      <x:c r="L54" s="34" t="str">
        <x:v>元素、生产者</x:v>
      </x:c>
      <x:c r="M54" s="34" t="str">
        <x:v>短圆柱形</x:v>
      </x:c>
      <x:c r="N54" s="34" t="str">
        <x:v>圆形</x:v>
      </x:c>
      <x:c r="O54" s="34" t="str">
        <x:v>Firecracker（触发器!D42）</x:v>
      </x:c>
      <x:c r="P54" s="34" t="str">
        <x:v>扩展</x:v>
      </x:c>
    </x:row>
    <x:row r="55" ht="38" customHeight="1">
      <x:c r="A55" s="35" t="str">
        <x:v>I050</x:v>
      </x:c>
      <x:c r="B55" s="35" t="str">
        <x:v>蒸汽锅炉</x:v>
      </x:c>
      <x:c r="C55" s="35" t="str">
        <x:v>史诗</x:v>
      </x:c>
      <x:c r="D55" s="37" t="n">
        <x:v>3</x:v>
      </x:c>
      <x:c r="E55" s="35" t="str">
        <x:v>三选一</x:v>
      </x:c>
      <x:c r="F55" s="39" t="str">
        <x:v>是</x:v>
      </x:c>
      <x:c r="G55" s="39" t="str">
        <x:v>永久</x:v>
      </x:c>
      <x:c r="H55" s="35" t="str">
        <x:v>接触</x:v>
      </x:c>
      <x:c r="I55" s="35" t="str">
        <x:v>接触火元素后点燃。点燃后，消耗接触的1颗水珠，临时生成1团蒸汽。</x:v>
      </x:c>
      <x:c r="J55" s="35" t="str">
        <x:v>每回合最多2次；不消耗点火物</x:v>
      </x:c>
      <x:c r="K55" s="35" t="str">
        <x:v>元素</x:v>
      </x:c>
      <x:c r="L55" s="35" t="str">
        <x:v>元素、工具、生产者</x:v>
      </x:c>
      <x:c r="M55" s="35" t="str">
        <x:v>圆桶形</x:v>
      </x:c>
      <x:c r="N55" s="35" t="str">
        <x:v>圆形</x:v>
      </x:c>
      <x:c r="O55" s="35" t="str">
        <x:v>Radiator（触发器!D23）；Water Mill（触发器!D101）</x:v>
      </x:c>
      <x:c r="P55" s="35" t="str">
        <x:v>首测候选</x:v>
      </x:c>
    </x:row>
    <x:row r="56" ht="30" customHeight="1">
      <x:c r="A56" s="34" t="str">
        <x:v>I051</x:v>
      </x:c>
      <x:c r="B56" s="34" t="str">
        <x:v>金币</x:v>
      </x:c>
      <x:c r="C56" s="34" t="str">
        <x:v>普通</x:v>
      </x:c>
      <x:c r="D56" s="36" t="n">
        <x:v>3</x:v>
      </x:c>
      <x:c r="E56" s="34" t="str">
        <x:v>三选一</x:v>
      </x:c>
      <x:c r="F56" s="38" t="str">
        <x:v>是</x:v>
      </x:c>
      <x:c r="G56" s="38" t="str">
        <x:v>永久</x:v>
      </x:c>
      <x:c r="H56" s="34" t="str">
        <x:v>结算加分</x:v>
      </x:c>
      <x:c r="I56" s="34" t="str">
        <x:v>本回合接触过集市物品时，自己本回合+2。</x:v>
      </x:c>
      <x:c r="J56" s="34" t="str">
        <x:v>每回合1次</x:v>
      </x:c>
      <x:c r="K56" s="34" t="str">
        <x:v>集市</x:v>
      </x:c>
      <x:c r="L56" s="34" t="str">
        <x:v>货币、金属、商品</x:v>
      </x:c>
      <x:c r="M56" s="34" t="str">
        <x:v>圆形</x:v>
      </x:c>
      <x:c r="N56" s="34" t="str">
        <x:v>圆形</x:v>
      </x:c>
      <x:c r="O56" s="34" t="str">
        <x:v>Credit Card（触发器!D14）</x:v>
      </x:c>
      <x:c r="P56" s="34" t="str">
        <x:v>首测候选</x:v>
      </x:c>
    </x:row>
    <x:row r="57" ht="30" customHeight="1">
      <x:c r="A57" s="35" t="str">
        <x:v>I052</x:v>
      </x:c>
      <x:c r="B57" s="35" t="str">
        <x:v>招财猪</x:v>
      </x:c>
      <x:c r="C57" s="35" t="str">
        <x:v>优秀</x:v>
      </x:c>
      <x:c r="D57" s="37" t="n">
        <x:v>1</x:v>
      </x:c>
      <x:c r="E57" s="35" t="str">
        <x:v>三选一</x:v>
      </x:c>
      <x:c r="F57" s="39" t="str">
        <x:v>是</x:v>
      </x:c>
      <x:c r="G57" s="39" t="str">
        <x:v>永久</x:v>
      </x:c>
      <x:c r="H57" s="35" t="str">
        <x:v>接触</x:v>
      </x:c>
      <x:c r="I57" s="35" t="str">
        <x:v>接触货币时，使该货币本回合+3，自己本回合+2。</x:v>
      </x:c>
      <x:c r="J57" s="35" t="str">
        <x:v>每件货币1次；最多3件</x:v>
      </x:c>
      <x:c r="K57" s="35" t="str">
        <x:v>集市</x:v>
      </x:c>
      <x:c r="L57" s="35" t="str">
        <x:v>集市、动物</x:v>
      </x:c>
      <x:c r="M57" s="35" t="str">
        <x:v>椭圆形</x:v>
      </x:c>
      <x:c r="N57" s="35" t="str">
        <x:v>不规则形</x:v>
      </x:c>
      <x:c r="O57" s="35" t="str">
        <x:v>Piggy Bonk（触发器!D53）</x:v>
      </x:c>
      <x:c r="P57" s="35" t="str">
        <x:v>首测候选</x:v>
      </x:c>
    </x:row>
    <x:row r="58" ht="30" customHeight="1">
      <x:c r="A58" s="34" t="str">
        <x:v>I053</x:v>
      </x:c>
      <x:c r="B58" s="34" t="str">
        <x:v>海绵</x:v>
      </x:c>
      <x:c r="C58" s="34" t="str">
        <x:v>普通</x:v>
      </x:c>
      <x:c r="D58" s="36" t="n">
        <x:v>1</x:v>
      </x:c>
      <x:c r="E58" s="34" t="str">
        <x:v>三选一</x:v>
      </x:c>
      <x:c r="F58" s="38" t="str">
        <x:v>是</x:v>
      </x:c>
      <x:c r="G58" s="38" t="str">
        <x:v>永久</x:v>
      </x:c>
      <x:c r="H58" s="34" t="str">
        <x:v>接触</x:v>
      </x:c>
      <x:c r="I58" s="34" t="str">
        <x:v>消耗1颗水珠，自己本回合+5。</x:v>
      </x:c>
      <x:c r="J58" s="34" t="str">
        <x:v>每回合最多2颗</x:v>
      </x:c>
      <x:c r="K58" s="34" t="str">
        <x:v>集市</x:v>
      </x:c>
      <x:c r="L58" s="34" t="str">
        <x:v>集市、消费者</x:v>
      </x:c>
      <x:c r="M58" s="34" t="str">
        <x:v>圆角方形</x:v>
      </x:c>
      <x:c r="N58" s="34" t="str">
        <x:v>方形</x:v>
      </x:c>
      <x:c r="O58" s="34" t="str">
        <x:v>Pale Chalice（触发器!D117）；Well（触发器!D64）</x:v>
      </x:c>
      <x:c r="P58" s="34" t="str">
        <x:v>扩展</x:v>
      </x:c>
    </x:row>
    <x:row r="59" ht="30" customHeight="1">
      <x:c r="A59" s="35" t="str">
        <x:v>I054</x:v>
      </x:c>
      <x:c r="B59" s="35" t="str">
        <x:v>回收桶</x:v>
      </x:c>
      <x:c r="C59" s="35" t="str">
        <x:v>普通</x:v>
      </x:c>
      <x:c r="D59" s="37" t="n">
        <x:v>1</x:v>
      </x:c>
      <x:c r="E59" s="35" t="str">
        <x:v>三选一</x:v>
      </x:c>
      <x:c r="F59" s="39" t="str">
        <x:v>是</x:v>
      </x:c>
      <x:c r="G59" s="39" t="str">
        <x:v>永久</x:v>
      </x:c>
      <x:c r="H59" s="35" t="str">
        <x:v>接触</x:v>
      </x:c>
      <x:c r="I59" s="35" t="str">
        <x:v>消耗1件小石子、废料或饼干屑，记分5。</x:v>
      </x:c>
      <x:c r="J59" s="35" t="str">
        <x:v>每回合最多3件</x:v>
      </x:c>
      <x:c r="K59" s="35" t="str">
        <x:v>集市</x:v>
      </x:c>
      <x:c r="L59" s="35" t="str">
        <x:v>集市、消费者</x:v>
      </x:c>
      <x:c r="M59" s="35" t="str">
        <x:v>梯形</x:v>
      </x:c>
      <x:c r="N59" s="35" t="str">
        <x:v>不规则形</x:v>
      </x:c>
      <x:c r="O59" s="35" t="str">
        <x:v>Recycling Bin（触发器!D55）</x:v>
      </x:c>
      <x:c r="P59" s="35" t="str">
        <x:v>首测候选</x:v>
      </x:c>
    </x:row>
    <x:row r="60" ht="38" customHeight="1">
      <x:c r="A60" s="34" t="str">
        <x:v>I055</x:v>
      </x:c>
      <x:c r="B60" s="34" t="str">
        <x:v>钱包</x:v>
      </x:c>
      <x:c r="C60" s="34" t="str">
        <x:v>优秀</x:v>
      </x:c>
      <x:c r="D60" s="36" t="n">
        <x:v>2</x:v>
      </x:c>
      <x:c r="E60" s="34" t="str">
        <x:v>三选一</x:v>
      </x:c>
      <x:c r="F60" s="38" t="str">
        <x:v>是</x:v>
      </x:c>
      <x:c r="G60" s="38" t="str">
        <x:v>永久</x:v>
      </x:c>
      <x:c r="H60" s="34" t="str">
        <x:v>接触</x:v>
      </x:c>
      <x:c r="I60" s="34" t="str">
        <x:v>使接触的1件货币永久基础分+1。</x:v>
      </x:c>
      <x:c r="J60" s="34" t="str">
        <x:v>每回合1件；同一货币每回合仅受1个钱包增值</x:v>
      </x:c>
      <x:c r="K60" s="34" t="str">
        <x:v>集市</x:v>
      </x:c>
      <x:c r="L60" s="34" t="str">
        <x:v>集市、货币辅助、装备</x:v>
      </x:c>
      <x:c r="M60" s="34" t="str">
        <x:v>扁方形</x:v>
      </x:c>
      <x:c r="N60" s="34" t="str">
        <x:v>方形</x:v>
      </x:c>
      <x:c r="O60" s="34" t="str">
        <x:v>Wallet（触发器!D63）</x:v>
      </x:c>
      <x:c r="P60" s="34" t="str">
        <x:v>首测候选</x:v>
      </x:c>
    </x:row>
    <x:row r="61" ht="38" customHeight="1">
      <x:c r="A61" s="35" t="str">
        <x:v>I056</x:v>
      </x:c>
      <x:c r="B61" s="35" t="str">
        <x:v>收银机</x:v>
      </x:c>
      <x:c r="C61" s="35" t="str">
        <x:v>稀有</x:v>
      </x:c>
      <x:c r="D61" s="37" t="n">
        <x:v>2</x:v>
      </x:c>
      <x:c r="E61" s="35" t="str">
        <x:v>三选一</x:v>
      </x:c>
      <x:c r="F61" s="39" t="str">
        <x:v>是</x:v>
      </x:c>
      <x:c r="G61" s="39" t="str">
        <x:v>永久</x:v>
      </x:c>
      <x:c r="H61" s="35" t="str">
        <x:v>接触</x:v>
      </x:c>
      <x:c r="I61" s="35" t="str">
        <x:v>接触商品时，记分等于该商品当前值。</x:v>
      </x:c>
      <x:c r="J61" s="35" t="str">
        <x:v>每商品每回合仅触发1台；每台最多3件；不消耗商品</x:v>
      </x:c>
      <x:c r="K61" s="35" t="str">
        <x:v>集市</x:v>
      </x:c>
      <x:c r="L61" s="35" t="str">
        <x:v>集市、辅助</x:v>
      </x:c>
      <x:c r="M61" s="35" t="str">
        <x:v>梯形</x:v>
      </x:c>
      <x:c r="N61" s="35" t="str">
        <x:v>不规则形</x:v>
      </x:c>
      <x:c r="O61" s="35" t="str">
        <x:v>Cash Register（触发器!D36）</x:v>
      </x:c>
      <x:c r="P61" s="35" t="str">
        <x:v>首测候选</x:v>
      </x:c>
    </x:row>
    <x:row r="62" ht="30" customHeight="1">
      <x:c r="A62" s="34" t="str">
        <x:v>I057</x:v>
      </x:c>
      <x:c r="B62" s="34" t="str">
        <x:v>金算盘</x:v>
      </x:c>
      <x:c r="C62" s="34" t="str">
        <x:v>稀有</x:v>
      </x:c>
      <x:c r="D62" s="36" t="n">
        <x:v>2</x:v>
      </x:c>
      <x:c r="E62" s="34" t="str">
        <x:v>三选一</x:v>
      </x:c>
      <x:c r="F62" s="38" t="str">
        <x:v>是</x:v>
      </x:c>
      <x:c r="G62" s="38" t="str">
        <x:v>永久</x:v>
      </x:c>
      <x:c r="H62" s="34" t="str">
        <x:v>结算末</x:v>
      </x:c>
      <x:c r="I62" s="34" t="str">
        <x:v>场上有至少3件货币且自己存活时，自己永久基础分+1。</x:v>
      </x:c>
      <x:c r="J62" s="34" t="str">
        <x:v>每回合1次；永久累计+10封顶</x:v>
      </x:c>
      <x:c r="K62" s="34" t="str">
        <x:v>集市</x:v>
      </x:c>
      <x:c r="L62" s="34" t="str">
        <x:v>集市、成长</x:v>
      </x:c>
      <x:c r="M62" s="34" t="str">
        <x:v>方形</x:v>
      </x:c>
      <x:c r="N62" s="34" t="str">
        <x:v>方形</x:v>
      </x:c>
      <x:c r="O62" s="34" t="str">
        <x:v>Investment Bonk（触发器!D46）</x:v>
      </x:c>
      <x:c r="P62" s="34" t="str">
        <x:v>扩展</x:v>
      </x:c>
    </x:row>
    <x:row r="63" ht="30" customHeight="1">
      <x:c r="A63" s="35" t="str">
        <x:v>I058</x:v>
      </x:c>
      <x:c r="B63" s="35" t="str">
        <x:v>货架</x:v>
      </x:c>
      <x:c r="C63" s="35" t="str">
        <x:v>优秀</x:v>
      </x:c>
      <x:c r="D63" s="37" t="n">
        <x:v>2</x:v>
      </x:c>
      <x:c r="E63" s="35" t="str">
        <x:v>三选一</x:v>
      </x:c>
      <x:c r="F63" s="39" t="str">
        <x:v>是</x:v>
      </x:c>
      <x:c r="G63" s="39" t="str">
        <x:v>永久</x:v>
      </x:c>
      <x:c r="H63" s="35" t="str">
        <x:v>结算加分</x:v>
      </x:c>
      <x:c r="I63" s="35" t="str">
        <x:v>相接触的商品各本回合+3；这些商品至少有3种不同名称时，自己再+6。</x:v>
      </x:c>
      <x:c r="J63" s="35" t="str">
        <x:v>最多影响4件；不移走商品</x:v>
      </x:c>
      <x:c r="K63" s="35" t="str">
        <x:v>集市</x:v>
      </x:c>
      <x:c r="L63" s="35" t="str">
        <x:v>集市、辅助</x:v>
      </x:c>
      <x:c r="M63" s="35" t="str">
        <x:v>凹字形</x:v>
      </x:c>
      <x:c r="N63" s="35" t="str">
        <x:v>凹槽形</x:v>
      </x:c>
      <x:c r="O63" s="35" t="str">
        <x:v>Ballmart（触发器!D3）</x:v>
      </x:c>
      <x:c r="P63" s="35" t="str">
        <x:v>扩展</x:v>
      </x:c>
    </x:row>
    <x:row r="64" ht="30" customHeight="1">
      <x:c r="A64" s="34" t="str">
        <x:v>I059</x:v>
      </x:c>
      <x:c r="B64" s="34" t="str">
        <x:v>宝石展台</x:v>
      </x:c>
      <x:c r="C64" s="34" t="str">
        <x:v>史诗</x:v>
      </x:c>
      <x:c r="D64" s="36" t="n">
        <x:v>3</x:v>
      </x:c>
      <x:c r="E64" s="34" t="str">
        <x:v>三选一</x:v>
      </x:c>
      <x:c r="F64" s="38" t="str">
        <x:v>是</x:v>
      </x:c>
      <x:c r="G64" s="38" t="str">
        <x:v>永久</x:v>
      </x:c>
      <x:c r="H64" s="34" t="str">
        <x:v>结算倍率</x:v>
      </x:c>
      <x:c r="I64" s="34" t="str">
        <x:v>相接触的宝石各获得+50%结算倍率。</x:v>
      </x:c>
      <x:c r="J64" s="34" t="str">
        <x:v>最多影响3件；宝石留在瓶中</x:v>
      </x:c>
      <x:c r="K64" s="34" t="str">
        <x:v>集市</x:v>
      </x:c>
      <x:c r="L64" s="34" t="str">
        <x:v>集市、结算核心</x:v>
      </x:c>
      <x:c r="M64" s="34" t="str">
        <x:v>方形</x:v>
      </x:c>
      <x:c r="N64" s="34" t="str">
        <x:v>方形</x:v>
      </x:c>
      <x:c r="O64" s="34" t="str">
        <x:v>Closet（触发器!D72）；Museum（触发器!D87）</x:v>
      </x:c>
      <x:c r="P64" s="34" t="str">
        <x:v>扩展</x:v>
      </x:c>
    </x:row>
    <x:row r="65" ht="30" customHeight="1">
      <x:c r="A65" s="35" t="str">
        <x:v>I060</x:v>
      </x:c>
      <x:c r="B65" s="35" t="str">
        <x:v>拍卖槌</x:v>
      </x:c>
      <x:c r="C65" s="35" t="str">
        <x:v>稀有</x:v>
      </x:c>
      <x:c r="D65" s="37" t="n">
        <x:v>2</x:v>
      </x:c>
      <x:c r="E65" s="35" t="str">
        <x:v>三选一</x:v>
      </x:c>
      <x:c r="F65" s="39" t="str">
        <x:v>是</x:v>
      </x:c>
      <x:c r="G65" s="39" t="str">
        <x:v>永久</x:v>
      </x:c>
      <x:c r="H65" s="35" t="str">
        <x:v>接触</x:v>
      </x:c>
      <x:c r="I65" s="35" t="str">
        <x:v>消耗1件基础分至少8的商品，记分等于其当前值×3。</x:v>
      </x:c>
      <x:c r="J65" s="35" t="str">
        <x:v>每回合1件</x:v>
      </x:c>
      <x:c r="K65" s="35" t="str">
        <x:v>集市</x:v>
      </x:c>
      <x:c r="L65" s="35" t="str">
        <x:v>集市、工具、消费者</x:v>
      </x:c>
      <x:c r="M65" s="35" t="str">
        <x:v>丁字形</x:v>
      </x:c>
      <x:c r="N65" s="35" t="str">
        <x:v>不规则形</x:v>
      </x:c>
      <x:c r="O65" s="35" t="str">
        <x:v>Museum（触发器!D87）</x:v>
      </x:c>
      <x:c r="P65" s="35" t="str">
        <x:v>扩展</x:v>
      </x:c>
    </x:row>
    <x:row r="66" ht="30" customHeight="1">
      <x:c r="A66" s="34" t="str">
        <x:v>I061</x:v>
      </x:c>
      <x:c r="B66" s="34" t="str">
        <x:v>小电池</x:v>
      </x:c>
      <x:c r="C66" s="34" t="str">
        <x:v>普通</x:v>
      </x:c>
      <x:c r="D66" s="36" t="n">
        <x:v>1</x:v>
      </x:c>
      <x:c r="E66" s="34" t="str">
        <x:v>三选一</x:v>
      </x:c>
      <x:c r="F66" s="38" t="str">
        <x:v>是</x:v>
      </x:c>
      <x:c r="G66" s="38" t="str">
        <x:v>永久</x:v>
      </x:c>
      <x:c r="H66" s="34" t="str">
        <x:v>接触</x:v>
      </x:c>
      <x:c r="I66" s="34" t="str">
        <x:v>初始3电量；接触充能物品时，给它1充能，自己消耗1电量。</x:v>
      </x:c>
      <x:c r="J66" s="34" t="str">
        <x:v>每目标1次；不为电源充电</x:v>
      </x:c>
      <x:c r="K66" s="34" t="str">
        <x:v>机械</x:v>
      </x:c>
      <x:c r="L66" s="34" t="str">
        <x:v>机械、电源</x:v>
      </x:c>
      <x:c r="M66" s="34" t="str">
        <x:v>胶囊形</x:v>
      </x:c>
      <x:c r="N66" s="34" t="str">
        <x:v>长条形</x:v>
      </x:c>
      <x:c r="O66" s="34" t="str">
        <x:v>Battery（触发器!D31）</x:v>
      </x:c>
      <x:c r="P66" s="34" t="str">
        <x:v>首测候选</x:v>
      </x:c>
    </x:row>
    <x:row r="67" ht="30" customHeight="1">
      <x:c r="A67" s="35" t="str">
        <x:v>I062</x:v>
      </x:c>
      <x:c r="B67" s="35" t="str">
        <x:v>发条玩具</x:v>
      </x:c>
      <x:c r="C67" s="35" t="str">
        <x:v>普通</x:v>
      </x:c>
      <x:c r="D67" s="37" t="n">
        <x:v>2</x:v>
      </x:c>
      <x:c r="E67" s="35" t="str">
        <x:v>三选一</x:v>
      </x:c>
      <x:c r="F67" s="39" t="str">
        <x:v>是</x:v>
      </x:c>
      <x:c r="G67" s="39" t="str">
        <x:v>永久</x:v>
      </x:c>
      <x:c r="H67" s="35" t="str">
        <x:v>接触</x:v>
      </x:c>
      <x:c r="I67" s="35" t="str">
        <x:v>初始2充能；接触其他物品时花1充能，自己本回合+3。</x:v>
      </x:c>
      <x:c r="J67" s="35" t="str">
        <x:v>每目标1次；最多4次</x:v>
      </x:c>
      <x:c r="K67" s="35" t="str">
        <x:v>机械</x:v>
      </x:c>
      <x:c r="L67" s="35" t="str">
        <x:v>机械、充能</x:v>
      </x:c>
      <x:c r="M67" s="35" t="str">
        <x:v>方形</x:v>
      </x:c>
      <x:c r="N67" s="35" t="str">
        <x:v>方形</x:v>
      </x:c>
      <x:c r="O67" s="35" t="str">
        <x:v>Juggler（触发器!D47）</x:v>
      </x:c>
      <x:c r="P67" s="35" t="str">
        <x:v>首测候选</x:v>
      </x:c>
    </x:row>
    <x:row r="68" ht="30" customHeight="1">
      <x:c r="A68" s="34" t="str">
        <x:v>I063</x:v>
      </x:c>
      <x:c r="B68" s="34" t="str">
        <x:v>转子发电机</x:v>
      </x:c>
      <x:c r="C68" s="34" t="str">
        <x:v>优秀</x:v>
      </x:c>
      <x:c r="D68" s="36" t="n">
        <x:v>2</x:v>
      </x:c>
      <x:c r="E68" s="34" t="str">
        <x:v>三选一</x:v>
      </x:c>
      <x:c r="F68" s="38" t="str">
        <x:v>是</x:v>
      </x:c>
      <x:c r="G68" s="38" t="str">
        <x:v>永久</x:v>
      </x:c>
      <x:c r="H68" s="34" t="str">
        <x:v>接触</x:v>
      </x:c>
      <x:c r="I68" s="34" t="str">
        <x:v>接触工具时，给自己当前接触的1件充能物品补充1充能。</x:v>
      </x:c>
      <x:c r="J68" s="34" t="str">
        <x:v>每工具1次；每回合最多3充能</x:v>
      </x:c>
      <x:c r="K68" s="34" t="str">
        <x:v>机械</x:v>
      </x:c>
      <x:c r="L68" s="34" t="str">
        <x:v>机械、电源</x:v>
      </x:c>
      <x:c r="M68" s="34" t="str">
        <x:v>齿轮形</x:v>
      </x:c>
      <x:c r="N68" s="34" t="str">
        <x:v>不规则形</x:v>
      </x:c>
      <x:c r="O68" s="34" t="str">
        <x:v>Battery（触发器!D31）；Kiln（触发器!D83）</x:v>
      </x:c>
      <x:c r="P68" s="34" t="str">
        <x:v>扩展</x:v>
      </x:c>
    </x:row>
    <x:row r="69" ht="38" customHeight="1">
      <x:c r="A69" s="35" t="str">
        <x:v>I064</x:v>
      </x:c>
      <x:c r="B69" s="35" t="str">
        <x:v>电容罐</x:v>
      </x:c>
      <x:c r="C69" s="35" t="str">
        <x:v>优秀</x:v>
      </x:c>
      <x:c r="D69" s="37" t="n">
        <x:v>1</x:v>
      </x:c>
      <x:c r="E69" s="35" t="str">
        <x:v>三选一</x:v>
      </x:c>
      <x:c r="F69" s="39" t="str">
        <x:v>是</x:v>
      </x:c>
      <x:c r="G69" s="39" t="str">
        <x:v>永久</x:v>
      </x:c>
      <x:c r="H69" s="35" t="str">
        <x:v>获得充能及结算加分</x:v>
      </x:c>
      <x:c r="I69" s="35" t="str">
        <x:v>初始0充能；每获得1充能，自己本回合+1；结算时每份剩余充能再使自己+3。</x:v>
      </x:c>
      <x:c r="J69" s="35" t="str">
        <x:v>充能上限5；获得充能奖励最多5次</x:v>
      </x:c>
      <x:c r="K69" s="35" t="str">
        <x:v>机械</x:v>
      </x:c>
      <x:c r="L69" s="35" t="str">
        <x:v>机械、充能</x:v>
      </x:c>
      <x:c r="M69" s="35" t="str">
        <x:v>圆柱形</x:v>
      </x:c>
      <x:c r="N69" s="35" t="str">
        <x:v>圆形</x:v>
      </x:c>
      <x:c r="O69" s="35" t="str">
        <x:v>Capacitor（触发器!D35）</x:v>
      </x:c>
      <x:c r="P69" s="35" t="str">
        <x:v>首测候选</x:v>
      </x:c>
    </x:row>
    <x:row r="70" ht="30" customHeight="1">
      <x:c r="A70" s="34" t="str">
        <x:v>I065</x:v>
      </x:c>
      <x:c r="B70" s="34" t="str">
        <x:v>插座</x:v>
      </x:c>
      <x:c r="C70" s="34" t="str">
        <x:v>优秀</x:v>
      </x:c>
      <x:c r="D70" s="36" t="n">
        <x:v>1</x:v>
      </x:c>
      <x:c r="E70" s="34" t="str">
        <x:v>三选一</x:v>
      </x:c>
      <x:c r="F70" s="38" t="str">
        <x:v>是</x:v>
      </x:c>
      <x:c r="G70" s="38" t="str">
        <x:v>永久</x:v>
      </x:c>
      <x:c r="H70" s="34" t="str">
        <x:v>接触</x:v>
      </x:c>
      <x:c r="I70" s="34" t="str">
        <x:v>初始2充能；接触非机械物品时花1充能，使其本回合+4。</x:v>
      </x:c>
      <x:c r="J70" s="34" t="str">
        <x:v>每目标1次；最多4次</x:v>
      </x:c>
      <x:c r="K70" s="34" t="str">
        <x:v>机械</x:v>
      </x:c>
      <x:c r="L70" s="34" t="str">
        <x:v>机械、充能</x:v>
      </x:c>
      <x:c r="M70" s="34" t="str">
        <x:v>方形</x:v>
      </x:c>
      <x:c r="N70" s="34" t="str">
        <x:v>方形</x:v>
      </x:c>
      <x:c r="O70" s="34" t="str">
        <x:v>Outlet（触发器!D88）</x:v>
      </x:c>
      <x:c r="P70" s="34" t="str">
        <x:v>首测候选</x:v>
      </x:c>
    </x:row>
    <x:row r="71" ht="38" customHeight="1">
      <x:c r="A71" s="35" t="str">
        <x:v>I066</x:v>
      </x:c>
      <x:c r="B71" s="35" t="str">
        <x:v>冷却柜</x:v>
      </x:c>
      <x:c r="C71" s="35" t="str">
        <x:v>稀有</x:v>
      </x:c>
      <x:c r="D71" s="37" t="n">
        <x:v>2</x:v>
      </x:c>
      <x:c r="E71" s="35" t="str">
        <x:v>三选一</x:v>
      </x:c>
      <x:c r="F71" s="39" t="str">
        <x:v>是</x:v>
      </x:c>
      <x:c r="G71" s="39" t="str">
        <x:v>永久</x:v>
      </x:c>
      <x:c r="H71" s="35" t="str">
        <x:v>接触</x:v>
      </x:c>
      <x:c r="I71" s="35" t="str">
        <x:v>初始2充能；接触充能为0的其他充能物品时，花1充能，使其本回合+6。</x:v>
      </x:c>
      <x:c r="J71" s="35" t="str">
        <x:v>每目标1次；最多2次</x:v>
      </x:c>
      <x:c r="K71" s="35" t="str">
        <x:v>机械</x:v>
      </x:c>
      <x:c r="L71" s="35" t="str">
        <x:v>机械、充能</x:v>
      </x:c>
      <x:c r="M71" s="35" t="str">
        <x:v>长方形</x:v>
      </x:c>
      <x:c r="N71" s="35" t="str">
        <x:v>长条形</x:v>
      </x:c>
      <x:c r="O71" s="35" t="str">
        <x:v>Refrigerator（触发器!D91）；Running Cap（触发器!D93）</x:v>
      </x:c>
      <x:c r="P71" s="35" t="str">
        <x:v>扩展</x:v>
      </x:c>
    </x:row>
    <x:row r="72" ht="38" customHeight="1">
      <x:c r="A72" s="34" t="str">
        <x:v>I067</x:v>
      </x:c>
      <x:c r="B72" s="34" t="str">
        <x:v>复印机</x:v>
      </x:c>
      <x:c r="C72" s="34" t="str">
        <x:v>史诗</x:v>
      </x:c>
      <x:c r="D72" s="36" t="n">
        <x:v>2</x:v>
      </x:c>
      <x:c r="E72" s="34" t="str">
        <x:v>三选一</x:v>
      </x:c>
      <x:c r="F72" s="38" t="str">
        <x:v>是</x:v>
      </x:c>
      <x:c r="G72" s="38" t="str">
        <x:v>永久</x:v>
      </x:c>
      <x:c r="H72" s="34" t="str">
        <x:v>接触</x:v>
      </x:c>
      <x:c r="I72" s="34" t="str">
        <x:v>初始2充能；接触商品时花1充能，临时生成1张纸影，基础分等于该商品当前值，上限12。</x:v>
      </x:c>
      <x:c r="J72" s="34" t="str">
        <x:v>每目标1次；最多2张；不复制技能</x:v>
      </x:c>
      <x:c r="K72" s="34" t="str">
        <x:v>机械</x:v>
      </x:c>
      <x:c r="L72" s="34" t="str">
        <x:v>机械、充能、生产者</x:v>
      </x:c>
      <x:c r="M72" s="34" t="str">
        <x:v>梯形</x:v>
      </x:c>
      <x:c r="N72" s="34" t="str">
        <x:v>不规则形</x:v>
      </x:c>
      <x:c r="O72" s="34" t="str">
        <x:v>Axe（触发器!D68）；Half-Off Coupon（增益!D57）</x:v>
      </x:c>
      <x:c r="P72" s="34" t="str">
        <x:v>扩展</x:v>
      </x:c>
    </x:row>
    <x:row r="73" ht="38" customHeight="1">
      <x:c r="A73" s="35" t="str">
        <x:v>I068</x:v>
      </x:c>
      <x:c r="B73" s="35" t="str">
        <x:v>弹簧台</x:v>
      </x:c>
      <x:c r="C73" s="35" t="str">
        <x:v>普通</x:v>
      </x:c>
      <x:c r="D73" s="37" t="n">
        <x:v>1</x:v>
      </x:c>
      <x:c r="E73" s="35" t="str">
        <x:v>三选一</x:v>
      </x:c>
      <x:c r="F73" s="39" t="str">
        <x:v>是</x:v>
      </x:c>
      <x:c r="G73" s="39" t="str">
        <x:v>永久</x:v>
      </x:c>
      <x:c r="H73" s="35" t="str">
        <x:v>接触</x:v>
      </x:c>
      <x:c r="I73" s="35" t="str">
        <x:v>使接触的其他物品本回合+1，并轻推离自身。</x:v>
      </x:c>
      <x:c r="J73" s="35" t="str">
        <x:v>每目标1次；最多5个；不检查速度</x:v>
      </x:c>
      <x:c r="K73" s="35" t="str">
        <x:v>机械</x:v>
      </x:c>
      <x:c r="L73" s="35" t="str">
        <x:v>机械、工具</x:v>
      </x:c>
      <x:c r="M73" s="35" t="str">
        <x:v>扁方形</x:v>
      </x:c>
      <x:c r="N73" s="35" t="str">
        <x:v>方形</x:v>
      </x:c>
      <x:c r="O73" s="35" t="str">
        <x:v>Pinball Bumper（触发器!D21）；Mushroom（触发器!D19）</x:v>
      </x:c>
      <x:c r="P73" s="35" t="str">
        <x:v>扩展</x:v>
      </x:c>
    </x:row>
    <x:row r="74" ht="30" customHeight="1">
      <x:c r="A74" s="34" t="str">
        <x:v>I069</x:v>
      </x:c>
      <x:c r="B74" s="34" t="str">
        <x:v>磁铁</x:v>
      </x:c>
      <x:c r="C74" s="34" t="str">
        <x:v>优秀</x:v>
      </x:c>
      <x:c r="D74" s="36" t="n">
        <x:v>2</x:v>
      </x:c>
      <x:c r="E74" s="34" t="str">
        <x:v>三选一</x:v>
      </x:c>
      <x:c r="F74" s="38" t="str">
        <x:v>是</x:v>
      </x:c>
      <x:c r="G74" s="38" t="str">
        <x:v>永久</x:v>
      </x:c>
      <x:c r="H74" s="34" t="str">
        <x:v>结算加分</x:v>
      </x:c>
      <x:c r="I74" s="34" t="str">
        <x:v>相接触的金属各本回合+3，每个目标同时使磁铁本回合+1。</x:v>
      </x:c>
      <x:c r="J74" s="34" t="str">
        <x:v>最多影响4件</x:v>
      </x:c>
      <x:c r="K74" s="34" t="str">
        <x:v>机械</x:v>
      </x:c>
      <x:c r="L74" s="34" t="str">
        <x:v>机械、工具</x:v>
      </x:c>
      <x:c r="M74" s="34" t="str">
        <x:v>马蹄形</x:v>
      </x:c>
      <x:c r="N74" s="34" t="str">
        <x:v>凹槽形</x:v>
      </x:c>
      <x:c r="O74" s="34" t="str">
        <x:v>原创</x:v>
      </x:c>
      <x:c r="P74" s="34" t="str">
        <x:v>扩展</x:v>
      </x:c>
    </x:row>
    <x:row r="75" ht="30" customHeight="1">
      <x:c r="A75" s="35" t="str">
        <x:v>I070</x:v>
      </x:c>
      <x:c r="B75" s="35" t="str">
        <x:v>计数盘</x:v>
      </x:c>
      <x:c r="C75" s="35" t="str">
        <x:v>稀有</x:v>
      </x:c>
      <x:c r="D75" s="37" t="n">
        <x:v>0</x:v>
      </x:c>
      <x:c r="E75" s="35" t="str">
        <x:v>三选一</x:v>
      </x:c>
      <x:c r="F75" s="39" t="str">
        <x:v>是</x:v>
      </x:c>
      <x:c r="G75" s="39" t="str">
        <x:v>永久</x:v>
      </x:c>
      <x:c r="H75" s="35" t="str">
        <x:v>结算加分</x:v>
      </x:c>
      <x:c r="I75" s="35" t="str">
        <x:v>每个存活的非机械物品，使自己本回合+1；名称至少8种时再+8。</x:v>
      </x:c>
      <x:c r="J75" s="35" t="str">
        <x:v>数量最多计24件</x:v>
      </x:c>
      <x:c r="K75" s="35" t="str">
        <x:v>机械</x:v>
      </x:c>
      <x:c r="L75" s="35" t="str">
        <x:v>机械、结算核心</x:v>
      </x:c>
      <x:c r="M75" s="35" t="str">
        <x:v>圆形</x:v>
      </x:c>
      <x:c r="N75" s="35" t="str">
        <x:v>圆形</x:v>
      </x:c>
      <x:c r="O75" s="35" t="str">
        <x:v>原创</x:v>
      </x:c>
      <x:c r="P75" s="35" t="str">
        <x:v>首测候选</x:v>
      </x:c>
    </x:row>
    <x:row r="76" ht="30" customHeight="1">
      <x:c r="A76" s="34" t="str">
        <x:v>I071</x:v>
      </x:c>
      <x:c r="B76" s="34" t="str">
        <x:v>灵魂罐</x:v>
      </x:c>
      <x:c r="C76" s="34" t="str">
        <x:v>普通</x:v>
      </x:c>
      <x:c r="D76" s="36" t="n">
        <x:v>1</x:v>
      </x:c>
      <x:c r="E76" s="34" t="str">
        <x:v>三选一</x:v>
      </x:c>
      <x:c r="F76" s="38" t="str">
        <x:v>是</x:v>
      </x:c>
      <x:c r="G76" s="38" t="str">
        <x:v>永久</x:v>
      </x:c>
      <x:c r="H76" s="34" t="str">
        <x:v>接触</x:v>
      </x:c>
      <x:c r="I76" s="34" t="str">
        <x:v>首次接触其他物品时消耗自己，生成2个幽灵。</x:v>
      </x:c>
      <x:c r="J76" s="34" t="str">
        <x:v>同一实例每回合1次</x:v>
      </x:c>
      <x:c r="K76" s="34" t="str">
        <x:v>灵魂</x:v>
      </x:c>
      <x:c r="L76" s="34" t="str">
        <x:v>灵魂、生产者</x:v>
      </x:c>
      <x:c r="M76" s="34" t="str">
        <x:v>壶形</x:v>
      </x:c>
      <x:c r="N76" s="34" t="str">
        <x:v>不规则形</x:v>
      </x:c>
      <x:c r="O76" s="34" t="str">
        <x:v>Tombstone（增益!D26）；Douter（增益!D9）</x:v>
      </x:c>
      <x:c r="P76" s="34" t="str">
        <x:v>首测候选</x:v>
      </x:c>
    </x:row>
    <x:row r="77" ht="38" customHeight="1">
      <x:c r="A77" s="35" t="str">
        <x:v>I072</x:v>
      </x:c>
      <x:c r="B77" s="35" t="str">
        <x:v>墓碑</x:v>
      </x:c>
      <x:c r="C77" s="35" t="str">
        <x:v>优秀</x:v>
      </x:c>
      <x:c r="D77" s="37" t="n">
        <x:v>2</x:v>
      </x:c>
      <x:c r="E77" s="35" t="str">
        <x:v>三选一</x:v>
      </x:c>
      <x:c r="F77" s="39" t="str">
        <x:v>是</x:v>
      </x:c>
      <x:c r="G77" s="39" t="str">
        <x:v>永久</x:v>
      </x:c>
      <x:c r="H77" s="35" t="str">
        <x:v>接触及结算末</x:v>
      </x:c>
      <x:c r="I77" s="35" t="str">
        <x:v>接触幽灵时自己本回合+2；本回合接触过至少3个幽灵且存活时，永久基础分+1。</x:v>
      </x:c>
      <x:c r="J77" s="35" t="str">
        <x:v>每幽灵1次；增值最多4次；永久累计+10封顶</x:v>
      </x:c>
      <x:c r="K77" s="35" t="str">
        <x:v>灵魂</x:v>
      </x:c>
      <x:c r="L77" s="35" t="str">
        <x:v>灵魂、成长</x:v>
      </x:c>
      <x:c r="M77" s="35" t="str">
        <x:v>拱顶长方形</x:v>
      </x:c>
      <x:c r="N77" s="35" t="str">
        <x:v>弧形</x:v>
      </x:c>
      <x:c r="O77" s="35" t="str">
        <x:v>Museum（触发器!D87）</x:v>
      </x:c>
      <x:c r="P77" s="35" t="str">
        <x:v>扩展</x:v>
      </x:c>
    </x:row>
    <x:row r="78" ht="30" customHeight="1">
      <x:c r="A78" s="34" t="str">
        <x:v>I073</x:v>
      </x:c>
      <x:c r="B78" s="34" t="str">
        <x:v>灵魂石</x:v>
      </x:c>
      <x:c r="C78" s="34" t="str">
        <x:v>优秀</x:v>
      </x:c>
      <x:c r="D78" s="36" t="n">
        <x:v>2</x:v>
      </x:c>
      <x:c r="E78" s="34" t="str">
        <x:v>三选一</x:v>
      </x:c>
      <x:c r="F78" s="38" t="str">
        <x:v>是</x:v>
      </x:c>
      <x:c r="G78" s="38" t="str">
        <x:v>永久</x:v>
      </x:c>
      <x:c r="H78" s="34" t="str">
        <x:v>接触</x:v>
      </x:c>
      <x:c r="I78" s="34" t="str">
        <x:v>消耗1个幽灵，自己本回合增加该幽灵当前值+3。</x:v>
      </x:c>
      <x:c r="J78" s="34" t="str">
        <x:v>每回合最多2个</x:v>
      </x:c>
      <x:c r="K78" s="34" t="str">
        <x:v>灵魂</x:v>
      </x:c>
      <x:c r="L78" s="34" t="str">
        <x:v>灵魂、消费者</x:v>
      </x:c>
      <x:c r="M78" s="34" t="str">
        <x:v>菱形</x:v>
      </x:c>
      <x:c r="N78" s="34" t="str">
        <x:v>不规则形</x:v>
      </x:c>
      <x:c r="O78" s="34" t="str">
        <x:v>Hungry Mouth（触发器!D45）</x:v>
      </x:c>
      <x:c r="P78" s="34" t="str">
        <x:v>首测候选</x:v>
      </x:c>
    </x:row>
    <x:row r="79" ht="30" customHeight="1">
      <x:c r="A79" s="35" t="str">
        <x:v>I074</x:v>
      </x:c>
      <x:c r="B79" s="35" t="str">
        <x:v>纸人</x:v>
      </x:c>
      <x:c r="C79" s="35" t="str">
        <x:v>普通</x:v>
      </x:c>
      <x:c r="D79" s="37" t="n">
        <x:v>2</x:v>
      </x:c>
      <x:c r="E79" s="35" t="str">
        <x:v>三选一</x:v>
      </x:c>
      <x:c r="F79" s="39" t="str">
        <x:v>是</x:v>
      </x:c>
      <x:c r="G79" s="39" t="str">
        <x:v>永久</x:v>
      </x:c>
      <x:c r="H79" s="35" t="str">
        <x:v>被消耗</x:v>
      </x:c>
      <x:c r="I79" s="35" t="str">
        <x:v>生成1个幽灵，并使消费者本回合+2。</x:v>
      </x:c>
      <x:c r="J79" s="35" t="str">
        <x:v>同一实例每回合1次；无消费者时只生成</x:v>
      </x:c>
      <x:c r="K79" s="35" t="str">
        <x:v>灵魂</x:v>
      </x:c>
      <x:c r="L79" s="35" t="str">
        <x:v>灵魂、消耗材料、生产者</x:v>
      </x:c>
      <x:c r="M79" s="35" t="str">
        <x:v>人字形</x:v>
      </x:c>
      <x:c r="N79" s="35" t="str">
        <x:v>不规则形</x:v>
      </x:c>
      <x:c r="O79" s="35" t="str">
        <x:v>Tombstone（增益!D26）</x:v>
      </x:c>
      <x:c r="P79" s="35" t="str">
        <x:v>首测候选</x:v>
      </x:c>
    </x:row>
    <x:row r="80" ht="30" customHeight="1">
      <x:c r="A80" s="34" t="str">
        <x:v>I075</x:v>
      </x:c>
      <x:c r="B80" s="34" t="str">
        <x:v>引魂灯</x:v>
      </x:c>
      <x:c r="C80" s="34" t="str">
        <x:v>稀有</x:v>
      </x:c>
      <x:c r="D80" s="36" t="n">
        <x:v>2</x:v>
      </x:c>
      <x:c r="E80" s="34" t="str">
        <x:v>三选一</x:v>
      </x:c>
      <x:c r="F80" s="38" t="str">
        <x:v>是</x:v>
      </x:c>
      <x:c r="G80" s="38" t="str">
        <x:v>永久</x:v>
      </x:c>
      <x:c r="H80" s="34" t="str">
        <x:v>结算加分</x:v>
      </x:c>
      <x:c r="I80" s="34" t="str">
        <x:v>自己接触着的幽灵各本回合+3。</x:v>
      </x:c>
      <x:c r="J80" s="34" t="str">
        <x:v>最多影响4个</x:v>
      </x:c>
      <x:c r="K80" s="34" t="str">
        <x:v>灵魂</x:v>
      </x:c>
      <x:c r="L80" s="34" t="str">
        <x:v>灵魂、辅助</x:v>
      </x:c>
      <x:c r="M80" s="34" t="str">
        <x:v>灯笼形</x:v>
      </x:c>
      <x:c r="N80" s="34" t="str">
        <x:v>不规则形</x:v>
      </x:c>
      <x:c r="O80" s="34" t="str">
        <x:v>Shopping List（增益!D24）</x:v>
      </x:c>
      <x:c r="P80" s="34" t="str">
        <x:v>扩展</x:v>
      </x:c>
    </x:row>
    <x:row r="81" ht="30" customHeight="1">
      <x:c r="A81" s="35" t="str">
        <x:v>I076</x:v>
      </x:c>
      <x:c r="B81" s="35" t="str">
        <x:v>焚化炉</x:v>
      </x:c>
      <x:c r="C81" s="35" t="str">
        <x:v>稀有</x:v>
      </x:c>
      <x:c r="D81" s="37" t="n">
        <x:v>1</x:v>
      </x:c>
      <x:c r="E81" s="35" t="str">
        <x:v>三选一</x:v>
      </x:c>
      <x:c r="F81" s="39" t="str">
        <x:v>是</x:v>
      </x:c>
      <x:c r="G81" s="39" t="str">
        <x:v>永久</x:v>
      </x:c>
      <x:c r="H81" s="35" t="str">
        <x:v>接触</x:v>
      </x:c>
      <x:c r="I81" s="35" t="str">
        <x:v>消耗1件纸人、羊毛、废料或纸影，临时生成1团魂火，并记分4。</x:v>
      </x:c>
      <x:c r="J81" s="35" t="str">
        <x:v>每回合最多2件</x:v>
      </x:c>
      <x:c r="K81" s="35" t="str">
        <x:v>灵魂</x:v>
      </x:c>
      <x:c r="L81" s="35" t="str">
        <x:v>灵魂、工具、生产者</x:v>
      </x:c>
      <x:c r="M81" s="35" t="str">
        <x:v>方形</x:v>
      </x:c>
      <x:c r="N81" s="35" t="str">
        <x:v>方形</x:v>
      </x:c>
      <x:c r="O81" s="35" t="str">
        <x:v>Douter（增益!D9）；Tombstone（增益!D26）</x:v>
      </x:c>
      <x:c r="P81" s="35" t="str">
        <x:v>首测候选</x:v>
      </x:c>
    </x:row>
    <x:row r="82" ht="30" customHeight="1">
      <x:c r="A82" s="34" t="str">
        <x:v>I077</x:v>
      </x:c>
      <x:c r="B82" s="34" t="str">
        <x:v>亡语铃</x:v>
      </x:c>
      <x:c r="C82" s="34" t="str">
        <x:v>优秀</x:v>
      </x:c>
      <x:c r="D82" s="36" t="n">
        <x:v>2</x:v>
      </x:c>
      <x:c r="E82" s="34" t="str">
        <x:v>三选一</x:v>
      </x:c>
      <x:c r="F82" s="38" t="str">
        <x:v>是</x:v>
      </x:c>
      <x:c r="G82" s="38" t="str">
        <x:v>永久</x:v>
      </x:c>
      <x:c r="H82" s="34" t="str">
        <x:v>消耗事件</x:v>
      </x:c>
      <x:c r="I82" s="34" t="str">
        <x:v>自己正在接触的物品被消耗时，自己本回合+3。</x:v>
      </x:c>
      <x:c r="J82" s="34" t="str">
        <x:v>每目标1次；最多4个；自身必须存活</x:v>
      </x:c>
      <x:c r="K82" s="34" t="str">
        <x:v>灵魂</x:v>
      </x:c>
      <x:c r="L82" s="34" t="str">
        <x:v>灵魂、辅助</x:v>
      </x:c>
      <x:c r="M82" s="34" t="str">
        <x:v>钟形</x:v>
      </x:c>
      <x:c r="N82" s="34" t="str">
        <x:v>不规则形</x:v>
      </x:c>
      <x:c r="O82" s="34" t="str">
        <x:v>Smokestack（增益!D25）</x:v>
      </x:c>
      <x:c r="P82" s="34" t="str">
        <x:v>首测候选</x:v>
      </x:c>
    </x:row>
    <x:row r="83" ht="30" customHeight="1">
      <x:c r="A83" s="35" t="str">
        <x:v>I078</x:v>
      </x:c>
      <x:c r="B83" s="35" t="str">
        <x:v>拾荒者</x:v>
      </x:c>
      <x:c r="C83" s="35" t="str">
        <x:v>普通</x:v>
      </x:c>
      <x:c r="D83" s="37" t="n">
        <x:v>1</x:v>
      </x:c>
      <x:c r="E83" s="35" t="str">
        <x:v>三选一</x:v>
      </x:c>
      <x:c r="F83" s="39" t="str">
        <x:v>是</x:v>
      </x:c>
      <x:c r="G83" s="39" t="str">
        <x:v>永久</x:v>
      </x:c>
      <x:c r="H83" s="35" t="str">
        <x:v>接触</x:v>
      </x:c>
      <x:c r="I83" s="35" t="str">
        <x:v>消耗1件小石子、废料、饼干屑或纪念票，自己本回合+5。</x:v>
      </x:c>
      <x:c r="J83" s="35" t="str">
        <x:v>每回合最多3件</x:v>
      </x:c>
      <x:c r="K83" s="35" t="str">
        <x:v>灵魂</x:v>
      </x:c>
      <x:c r="L83" s="35" t="str">
        <x:v>灵魂、消费者</x:v>
      </x:c>
      <x:c r="M83" s="35" t="str">
        <x:v>三角形</x:v>
      </x:c>
      <x:c r="N83" s="35" t="str">
        <x:v>三角形</x:v>
      </x:c>
      <x:c r="O83" s="35" t="str">
        <x:v>Recycling Bin（触发器!D55）</x:v>
      </x:c>
      <x:c r="P83" s="35" t="str">
        <x:v>扩展</x:v>
      </x:c>
    </x:row>
    <x:row r="84" ht="38" customHeight="1">
      <x:c r="A84" s="34" t="str">
        <x:v>I079</x:v>
      </x:c>
      <x:c r="B84" s="34" t="str">
        <x:v>轮回匣</x:v>
      </x:c>
      <x:c r="C84" s="34" t="str">
        <x:v>史诗</x:v>
      </x:c>
      <x:c r="D84" s="36" t="n">
        <x:v>2</x:v>
      </x:c>
      <x:c r="E84" s="34" t="str">
        <x:v>三选一</x:v>
      </x:c>
      <x:c r="F84" s="38" t="str">
        <x:v>是</x:v>
      </x:c>
      <x:c r="G84" s="38" t="str">
        <x:v>永久</x:v>
      </x:c>
      <x:c r="H84" s="34" t="str">
        <x:v>接触</x:v>
      </x:c>
      <x:c r="I84" s="34" t="str">
        <x:v>接触幽灵时，若本回合弃牌堆里有基础分不超过3的永久物品，消耗该幽灵，并返还其中最早被消耗的1件。</x:v>
      </x:c>
      <x:c r="J84" s="34" t="str">
        <x:v>每回合1次；先选返还对象，再消耗幽灵；保留已用次数</x:v>
      </x:c>
      <x:c r="K84" s="34" t="str">
        <x:v>灵魂</x:v>
      </x:c>
      <x:c r="L84" s="34" t="str">
        <x:v>灵魂、工具</x:v>
      </x:c>
      <x:c r="M84" s="34" t="str">
        <x:v>六边形</x:v>
      </x:c>
      <x:c r="N84" s="34" t="str">
        <x:v>不规则形</x:v>
      </x:c>
      <x:c r="O84" s="34" t="str">
        <x:v>Spell of Rebirth（触发器!D125）</x:v>
      </x:c>
      <x:c r="P84" s="34" t="str">
        <x:v>扩展</x:v>
      </x:c>
    </x:row>
    <x:row r="85" ht="30" customHeight="1">
      <x:c r="A85" s="35" t="str">
        <x:v>I080</x:v>
      </x:c>
      <x:c r="B85" s="35" t="str">
        <x:v>守墓人</x:v>
      </x:c>
      <x:c r="C85" s="35" t="str">
        <x:v>稀有</x:v>
      </x:c>
      <x:c r="D85" s="37" t="n">
        <x:v>3</x:v>
      </x:c>
      <x:c r="E85" s="35" t="str">
        <x:v>三选一</x:v>
      </x:c>
      <x:c r="F85" s="39" t="str">
        <x:v>是</x:v>
      </x:c>
      <x:c r="G85" s="39" t="str">
        <x:v>永久</x:v>
      </x:c>
      <x:c r="H85" s="35" t="str">
        <x:v>结算倍率</x:v>
      </x:c>
      <x:c r="I85" s="35" t="str">
        <x:v>本回合弃牌堆中有至少3件永久物品时，所有存活灵魂物品获得+50%倍率。</x:v>
      </x:c>
      <x:c r="J85" s="35" t="str">
        <x:v>每回合1次；已返还的不计入</x:v>
      </x:c>
      <x:c r="K85" s="35" t="str">
        <x:v>灵魂</x:v>
      </x:c>
      <x:c r="L85" s="35" t="str">
        <x:v>灵魂、结算核心</x:v>
      </x:c>
      <x:c r="M85" s="35" t="str">
        <x:v>棋子形</x:v>
      </x:c>
      <x:c r="N85" s="35" t="str">
        <x:v>不规则形</x:v>
      </x:c>
      <x:c r="O85" s="35" t="str">
        <x:v>Trash Can（触发器!D100）</x:v>
      </x:c>
      <x:c r="P85" s="35" t="str">
        <x:v>扩展</x:v>
      </x:c>
    </x:row>
    <x:row r="86" ht="30" customHeight="1">
      <x:c r="A86" s="34" t="str">
        <x:v>I081</x:v>
      </x:c>
      <x:c r="B86" s="34" t="str">
        <x:v>紫水晶</x:v>
      </x:c>
      <x:c r="C86" s="34" t="str">
        <x:v>优秀</x:v>
      </x:c>
      <x:c r="D86" s="36" t="n">
        <x:v>3</x:v>
      </x:c>
      <x:c r="E86" s="34" t="str">
        <x:v>三选一</x:v>
      </x:c>
      <x:c r="F86" s="38" t="str">
        <x:v>是</x:v>
      </x:c>
      <x:c r="G86" s="38" t="str">
        <x:v>永久</x:v>
      </x:c>
      <x:c r="H86" s="34" t="str">
        <x:v>结算加分</x:v>
      </x:c>
      <x:c r="I86" s="34" t="str">
        <x:v>每接触1件其他宝石，双方本回合各+2。</x:v>
      </x:c>
      <x:c r="J86" s="34" t="str">
        <x:v>最多计3件</x:v>
      </x:c>
      <x:c r="K86" s="34" t="str">
        <x:v>宝石</x:v>
      </x:c>
      <x:c r="L86" s="34" t="str">
        <x:v>宝石、共鸣</x:v>
      </x:c>
      <x:c r="M86" s="34" t="str">
        <x:v>六边形</x:v>
      </x:c>
      <x:c r="N86" s="34" t="str">
        <x:v>不规则形</x:v>
      </x:c>
      <x:c r="O86" s="34" t="str">
        <x:v>Amethyst（触发器!D103）</x:v>
      </x:c>
      <x:c r="P86" s="34" t="str">
        <x:v>首测候选</x:v>
      </x:c>
    </x:row>
    <x:row r="87" ht="38" customHeight="1">
      <x:c r="A87" s="35" t="str">
        <x:v>I082</x:v>
      </x:c>
      <x:c r="B87" s="35" t="str">
        <x:v>黄水晶</x:v>
      </x:c>
      <x:c r="C87" s="35" t="str">
        <x:v>稀有</x:v>
      </x:c>
      <x:c r="D87" s="37" t="n">
        <x:v>3</x:v>
      </x:c>
      <x:c r="E87" s="35" t="str">
        <x:v>三选一</x:v>
      </x:c>
      <x:c r="F87" s="39" t="str">
        <x:v>是</x:v>
      </x:c>
      <x:c r="G87" s="39" t="str">
        <x:v>永久</x:v>
      </x:c>
      <x:c r="H87" s="35" t="str">
        <x:v>结算末</x:v>
      </x:c>
      <x:c r="I87" s="35" t="str">
        <x:v>相接触的成长物品中，永久基础分最低者永久基础分+1。</x:v>
      </x:c>
      <x:c r="J87" s="35" t="str">
        <x:v>每回合1件；同一目标每回合仅受1颗黄水晶增值</x:v>
      </x:c>
      <x:c r="K87" s="35" t="str">
        <x:v>宝石</x:v>
      </x:c>
      <x:c r="L87" s="35" t="str">
        <x:v>宝石、成长辅助</x:v>
      </x:c>
      <x:c r="M87" s="35" t="str">
        <x:v>菱形</x:v>
      </x:c>
      <x:c r="N87" s="35" t="str">
        <x:v>不规则形</x:v>
      </x:c>
      <x:c r="O87" s="35" t="str">
        <x:v>Citrine（触发器!D107）</x:v>
      </x:c>
      <x:c r="P87" s="35" t="str">
        <x:v>扩展</x:v>
      </x:c>
    </x:row>
    <x:row r="88" ht="30" customHeight="1">
      <x:c r="A88" s="34" t="str">
        <x:v>I083</x:v>
      </x:c>
      <x:c r="B88" s="34" t="str">
        <x:v>石榴石</x:v>
      </x:c>
      <x:c r="C88" s="34" t="str">
        <x:v>稀有</x:v>
      </x:c>
      <x:c r="D88" s="36" t="n">
        <x:v>3</x:v>
      </x:c>
      <x:c r="E88" s="34" t="str">
        <x:v>三选一</x:v>
      </x:c>
      <x:c r="F88" s="38" t="str">
        <x:v>是</x:v>
      </x:c>
      <x:c r="G88" s="38" t="str">
        <x:v>永久</x:v>
      </x:c>
      <x:c r="H88" s="34" t="str">
        <x:v>接触</x:v>
      </x:c>
      <x:c r="I88" s="34" t="str">
        <x:v>给接触的充能物品补充1充能。</x:v>
      </x:c>
      <x:c r="J88" s="34" t="str">
        <x:v>每目标1次；最多3件</x:v>
      </x:c>
      <x:c r="K88" s="34" t="str">
        <x:v>宝石</x:v>
      </x:c>
      <x:c r="L88" s="34" t="str">
        <x:v>宝石、充能辅助</x:v>
      </x:c>
      <x:c r="M88" s="34" t="str">
        <x:v>多边形</x:v>
      </x:c>
      <x:c r="N88" s="34" t="str">
        <x:v>不规则形</x:v>
      </x:c>
      <x:c r="O88" s="34" t="str">
        <x:v>Garnet（触发器!D111）</x:v>
      </x:c>
      <x:c r="P88" s="34" t="str">
        <x:v>首测候选</x:v>
      </x:c>
    </x:row>
    <x:row r="89" ht="30" customHeight="1">
      <x:c r="A89" s="35" t="str">
        <x:v>I084</x:v>
      </x:c>
      <x:c r="B89" s="35" t="str">
        <x:v>橄榄石</x:v>
      </x:c>
      <x:c r="C89" s="35" t="str">
        <x:v>优秀</x:v>
      </x:c>
      <x:c r="D89" s="37" t="n">
        <x:v>2</x:v>
      </x:c>
      <x:c r="E89" s="35" t="str">
        <x:v>三选一</x:v>
      </x:c>
      <x:c r="F89" s="39" t="str">
        <x:v>是</x:v>
      </x:c>
      <x:c r="G89" s="39" t="str">
        <x:v>永久</x:v>
      </x:c>
      <x:c r="H89" s="35" t="str">
        <x:v>接触</x:v>
      </x:c>
      <x:c r="I89" s="35" t="str">
        <x:v>接触充能为0的充能物品时，给它补充2充能，自己本回合+2。</x:v>
      </x:c>
      <x:c r="J89" s="35" t="str">
        <x:v>每目标1次；最多2件</x:v>
      </x:c>
      <x:c r="K89" s="35" t="str">
        <x:v>宝石</x:v>
      </x:c>
      <x:c r="L89" s="35" t="str">
        <x:v>宝石、充能辅助</x:v>
      </x:c>
      <x:c r="M89" s="35" t="str">
        <x:v>椭圆形</x:v>
      </x:c>
      <x:c r="N89" s="35" t="str">
        <x:v>不规则形</x:v>
      </x:c>
      <x:c r="O89" s="35" t="str">
        <x:v>Peridot（触发器!D118）</x:v>
      </x:c>
      <x:c r="P89" s="35" t="str">
        <x:v>扩展</x:v>
      </x:c>
    </x:row>
    <x:row r="90" ht="30" customHeight="1">
      <x:c r="A90" s="34" t="str">
        <x:v>I085</x:v>
      </x:c>
      <x:c r="B90" s="34" t="str">
        <x:v>黄玉</x:v>
      </x:c>
      <x:c r="C90" s="34" t="str">
        <x:v>史诗</x:v>
      </x:c>
      <x:c r="D90" s="36" t="n">
        <x:v>3</x:v>
      </x:c>
      <x:c r="E90" s="34" t="str">
        <x:v>三选一</x:v>
      </x:c>
      <x:c r="F90" s="38" t="str">
        <x:v>是</x:v>
      </x:c>
      <x:c r="G90" s="38" t="str">
        <x:v>永久</x:v>
      </x:c>
      <x:c r="H90" s="34" t="str">
        <x:v>生产事件</x:v>
      </x:c>
      <x:c r="I90" s="34" t="str">
        <x:v>与自己接触的物品生成商品时，额外生成1件同种商品。</x:v>
      </x:c>
      <x:c r="J90" s="34" t="str">
        <x:v>每回合1件；多个黄玉不能复制同一次生产</x:v>
      </x:c>
      <x:c r="K90" s="34" t="str">
        <x:v>宝石</x:v>
      </x:c>
      <x:c r="L90" s="34" t="str">
        <x:v>宝石、生产辅助</x:v>
      </x:c>
      <x:c r="M90" s="34" t="str">
        <x:v>菱形</x:v>
      </x:c>
      <x:c r="N90" s="34" t="str">
        <x:v>不规则形</x:v>
      </x:c>
      <x:c r="O90" s="34" t="str">
        <x:v>Topaz（触发器!D126）</x:v>
      </x:c>
      <x:c r="P90" s="34" t="str">
        <x:v>扩展</x:v>
      </x:c>
    </x:row>
    <x:row r="91" ht="30" customHeight="1">
      <x:c r="A91" s="35" t="str">
        <x:v>I086</x:v>
      </x:c>
      <x:c r="B91" s="35" t="str">
        <x:v>棱镜</x:v>
      </x:c>
      <x:c r="C91" s="35" t="str">
        <x:v>稀有</x:v>
      </x:c>
      <x:c r="D91" s="37" t="n">
        <x:v>2</x:v>
      </x:c>
      <x:c r="E91" s="35" t="str">
        <x:v>三选一</x:v>
      </x:c>
      <x:c r="F91" s="39" t="str">
        <x:v>是</x:v>
      </x:c>
      <x:c r="G91" s="39" t="str">
        <x:v>永久</x:v>
      </x:c>
      <x:c r="H91" s="35" t="str">
        <x:v>结算加分</x:v>
      </x:c>
      <x:c r="I91" s="35" t="str">
        <x:v>相接触的宝石每有1种不同名称，自己本回合+3。</x:v>
      </x:c>
      <x:c r="J91" s="35" t="str">
        <x:v>最多计4种</x:v>
      </x:c>
      <x:c r="K91" s="35" t="str">
        <x:v>宝石</x:v>
      </x:c>
      <x:c r="L91" s="35" t="str">
        <x:v>宝石、结算辅助</x:v>
      </x:c>
      <x:c r="M91" s="35" t="str">
        <x:v>三角形</x:v>
      </x:c>
      <x:c r="N91" s="35" t="str">
        <x:v>三角形</x:v>
      </x:c>
      <x:c r="O91" s="35" t="str">
        <x:v>Rainbow（触发器!D90）</x:v>
      </x:c>
      <x:c r="P91" s="35" t="str">
        <x:v>扩展</x:v>
      </x:c>
    </x:row>
    <x:row r="92" ht="30" customHeight="1">
      <x:c r="A92" s="34" t="str">
        <x:v>I087</x:v>
      </x:c>
      <x:c r="B92" s="34" t="str">
        <x:v>共鸣石</x:v>
      </x:c>
      <x:c r="C92" s="34" t="str">
        <x:v>普通</x:v>
      </x:c>
      <x:c r="D92" s="36" t="n">
        <x:v>2</x:v>
      </x:c>
      <x:c r="E92" s="34" t="str">
        <x:v>三选一</x:v>
      </x:c>
      <x:c r="F92" s="38" t="str">
        <x:v>是</x:v>
      </x:c>
      <x:c r="G92" s="38" t="str">
        <x:v>永久</x:v>
      </x:c>
      <x:c r="H92" s="34" t="str">
        <x:v>结算加分</x:v>
      </x:c>
      <x:c r="I92" s="34" t="str">
        <x:v>所在宝石接触组有至少3件时，自己本回合+5。</x:v>
      </x:c>
      <x:c r="J92" s="34" t="str">
        <x:v>每件1次</x:v>
      </x:c>
      <x:c r="K92" s="34" t="str">
        <x:v>宝石</x:v>
      </x:c>
      <x:c r="L92" s="34" t="str">
        <x:v>宝石、共鸣</x:v>
      </x:c>
      <x:c r="M92" s="34" t="str">
        <x:v>圆形</x:v>
      </x:c>
      <x:c r="N92" s="34" t="str">
        <x:v>圆形</x:v>
      </x:c>
      <x:c r="O92" s="34" t="str">
        <x:v>Amethyst（触发器!D103）</x:v>
      </x:c>
      <x:c r="P92" s="34" t="str">
        <x:v>首测候选</x:v>
      </x:c>
    </x:row>
    <x:row r="93" ht="30" customHeight="1">
      <x:c r="A93" s="35" t="str">
        <x:v>I088</x:v>
      </x:c>
      <x:c r="B93" s="35" t="str">
        <x:v>调音叉</x:v>
      </x:c>
      <x:c r="C93" s="35" t="str">
        <x:v>优秀</x:v>
      </x:c>
      <x:c r="D93" s="37" t="n">
        <x:v>1</x:v>
      </x:c>
      <x:c r="E93" s="35" t="str">
        <x:v>三选一</x:v>
      </x:c>
      <x:c r="F93" s="39" t="str">
        <x:v>是</x:v>
      </x:c>
      <x:c r="G93" s="39" t="str">
        <x:v>永久</x:v>
      </x:c>
      <x:c r="H93" s="35" t="str">
        <x:v>接触</x:v>
      </x:c>
      <x:c r="I93" s="35" t="str">
        <x:v>接触共鸣物品时，双方本回合各+2。</x:v>
      </x:c>
      <x:c r="J93" s="35" t="str">
        <x:v>每目标1次；最多4件</x:v>
      </x:c>
      <x:c r="K93" s="35" t="str">
        <x:v>宝石</x:v>
      </x:c>
      <x:c r="L93" s="35" t="str">
        <x:v>工具、共鸣</x:v>
      </x:c>
      <x:c r="M93" s="35" t="str">
        <x:v>叉形</x:v>
      </x:c>
      <x:c r="N93" s="35" t="str">
        <x:v>不规则形</x:v>
      </x:c>
      <x:c r="O93" s="35" t="str">
        <x:v>原创</x:v>
      </x:c>
      <x:c r="P93" s="35" t="str">
        <x:v>首测候选</x:v>
      </x:c>
    </x:row>
    <x:row r="94" ht="30" customHeight="1">
      <x:c r="A94" s="34" t="str">
        <x:v>I089</x:v>
      </x:c>
      <x:c r="B94" s="34" t="str">
        <x:v>彩虹珠</x:v>
      </x:c>
      <x:c r="C94" s="34" t="str">
        <x:v>史诗</x:v>
      </x:c>
      <x:c r="D94" s="36" t="n">
        <x:v>4</x:v>
      </x:c>
      <x:c r="E94" s="34" t="str">
        <x:v>三选一</x:v>
      </x:c>
      <x:c r="F94" s="38" t="str">
        <x:v>是</x:v>
      </x:c>
      <x:c r="G94" s="38" t="str">
        <x:v>永久</x:v>
      </x:c>
      <x:c r="H94" s="34" t="str">
        <x:v>结算倍率</x:v>
      </x:c>
      <x:c r="I94" s="34" t="str">
        <x:v>相接触的物品里恰好有3种不同主流派时，这些物品各获得+75%倍率。</x:v>
      </x:c>
      <x:c r="J94" s="34" t="str">
        <x:v>最多影响4件</x:v>
      </x:c>
      <x:c r="K94" s="34" t="str">
        <x:v>宝石</x:v>
      </x:c>
      <x:c r="L94" s="34" t="str">
        <x:v>宝石、结算辅助</x:v>
      </x:c>
      <x:c r="M94" s="34" t="str">
        <x:v>圆形</x:v>
      </x:c>
      <x:c r="N94" s="34" t="str">
        <x:v>圆形</x:v>
      </x:c>
      <x:c r="O94" s="34" t="str">
        <x:v>Rainbow（触发器!D90）</x:v>
      </x:c>
      <x:c r="P94" s="34" t="str">
        <x:v>扩展</x:v>
      </x:c>
    </x:row>
    <x:row r="95" ht="30" customHeight="1">
      <x:c r="A95" s="35" t="str">
        <x:v>I090</x:v>
      </x:c>
      <x:c r="B95" s="35" t="str">
        <x:v>镜片</x:v>
      </x:c>
      <x:c r="C95" s="35" t="str">
        <x:v>稀有</x:v>
      </x:c>
      <x:c r="D95" s="37" t="n">
        <x:v>2</x:v>
      </x:c>
      <x:c r="E95" s="35" t="str">
        <x:v>三选一</x:v>
      </x:c>
      <x:c r="F95" s="39" t="str">
        <x:v>是</x:v>
      </x:c>
      <x:c r="G95" s="39" t="str">
        <x:v>永久</x:v>
      </x:c>
      <x:c r="H95" s="35" t="str">
        <x:v>结算加分</x:v>
      </x:c>
      <x:c r="I95" s="35" t="str">
        <x:v>自己本回合增加所接触物品中最高冻结值的50%，向下取整。</x:v>
      </x:c>
      <x:c r="J95" s="35" t="str">
        <x:v>只读取冻结值，不读取结算中的增量</x:v>
      </x:c>
      <x:c r="K95" s="35" t="str">
        <x:v>宝石</x:v>
      </x:c>
      <x:c r="L95" s="35" t="str">
        <x:v>宝石、结算辅助</x:v>
      </x:c>
      <x:c r="M95" s="35" t="str">
        <x:v>扁圆形</x:v>
      </x:c>
      <x:c r="N95" s="35" t="str">
        <x:v>圆形</x:v>
      </x:c>
      <x:c r="O95" s="35" t="str">
        <x:v>原创</x:v>
      </x:c>
      <x:c r="P95" s="35" t="str">
        <x:v>首测候选</x:v>
      </x:c>
    </x:row>
    <x:row r="96" ht="30" customHeight="1">
      <x:c r="A96" s="34" t="str">
        <x:v>I091</x:v>
      </x:c>
      <x:c r="B96" s="34" t="str">
        <x:v>木剑</x:v>
      </x:c>
      <x:c r="C96" s="34" t="str">
        <x:v>普通</x:v>
      </x:c>
      <x:c r="D96" s="36" t="n">
        <x:v>2</x:v>
      </x:c>
      <x:c r="E96" s="34" t="str">
        <x:v>三选一</x:v>
      </x:c>
      <x:c r="F96" s="38" t="str">
        <x:v>是</x:v>
      </x:c>
      <x:c r="G96" s="38" t="str">
        <x:v>永久</x:v>
      </x:c>
      <x:c r="H96" s="34" t="str">
        <x:v>接触</x:v>
      </x:c>
      <x:c r="I96" s="34" t="str">
        <x:v>接触可攻击物品时造成1点伤害，自己本回合+2。</x:v>
      </x:c>
      <x:c r="J96" s="34" t="str">
        <x:v>每目标1次；最多3个</x:v>
      </x:c>
      <x:c r="K96" s="34" t="str">
        <x:v>探险</x:v>
      </x:c>
      <x:c r="L96" s="34" t="str">
        <x:v>装备、工具</x:v>
      </x:c>
      <x:c r="M96" s="34" t="str">
        <x:v>细长形</x:v>
      </x:c>
      <x:c r="N96" s="34" t="str">
        <x:v>长条形</x:v>
      </x:c>
      <x:c r="O96" s="34" t="str">
        <x:v>Sword（触发器!D58）</x:v>
      </x:c>
      <x:c r="P96" s="34" t="str">
        <x:v>首测候选</x:v>
      </x:c>
    </x:row>
    <x:row r="97" ht="38" customHeight="1">
      <x:c r="A97" s="35" t="str">
        <x:v>I092</x:v>
      </x:c>
      <x:c r="B97" s="35" t="str">
        <x:v>木盾</x:v>
      </x:c>
      <x:c r="C97" s="35" t="str">
        <x:v>普通</x:v>
      </x:c>
      <x:c r="D97" s="37" t="n">
        <x:v>2</x:v>
      </x:c>
      <x:c r="E97" s="35" t="str">
        <x:v>三选一</x:v>
      </x:c>
      <x:c r="F97" s="39" t="str">
        <x:v>是</x:v>
      </x:c>
      <x:c r="G97" s="39" t="str">
        <x:v>永久</x:v>
      </x:c>
      <x:c r="H97" s="35" t="str">
        <x:v>消耗前</x:v>
      </x:c>
      <x:c r="I97" s="35" t="str">
        <x:v>自己接触着的物品将被消耗时，阻止这次消耗以及由它产生的全部收益。</x:v>
      </x:c>
      <x:c r="J97" s="35" t="str">
        <x:v>每回合1次；显示盾牌闪光</x:v>
      </x:c>
      <x:c r="K97" s="35" t="str">
        <x:v>探险</x:v>
      </x:c>
      <x:c r="L97" s="35" t="str">
        <x:v>装备</x:v>
      </x:c>
      <x:c r="M97" s="35" t="str">
        <x:v>盾形</x:v>
      </x:c>
      <x:c r="N97" s="35" t="str">
        <x:v>不规则形</x:v>
      </x:c>
      <x:c r="O97" s="35" t="str">
        <x:v>Jungle Hat（触发器!D48）；Mouse Trap（增益!D19）</x:v>
      </x:c>
      <x:c r="P97" s="35" t="str">
        <x:v>扩展</x:v>
      </x:c>
    </x:row>
    <x:row r="98" ht="30" customHeight="1">
      <x:c r="A98" s="34" t="str">
        <x:v>I093</x:v>
      </x:c>
      <x:c r="B98" s="34" t="str">
        <x:v>草帽</x:v>
      </x:c>
      <x:c r="C98" s="34" t="str">
        <x:v>普通</x:v>
      </x:c>
      <x:c r="D98" s="36" t="n">
        <x:v>1</x:v>
      </x:c>
      <x:c r="E98" s="34" t="str">
        <x:v>三选一</x:v>
      </x:c>
      <x:c r="F98" s="38" t="str">
        <x:v>是</x:v>
      </x:c>
      <x:c r="G98" s="38" t="str">
        <x:v>永久</x:v>
      </x:c>
      <x:c r="H98" s="34" t="str">
        <x:v>结算加分</x:v>
      </x:c>
      <x:c r="I98" s="34" t="str">
        <x:v>相接触的植物各本回合+4。</x:v>
      </x:c>
      <x:c r="J98" s="34" t="str">
        <x:v>最多影响3件</x:v>
      </x:c>
      <x:c r="K98" s="34" t="str">
        <x:v>探险</x:v>
      </x:c>
      <x:c r="L98" s="34" t="str">
        <x:v>装备、植物辅助</x:v>
      </x:c>
      <x:c r="M98" s="34" t="str">
        <x:v>扁圆形</x:v>
      </x:c>
      <x:c r="N98" s="34" t="str">
        <x:v>圆形</x:v>
      </x:c>
      <x:c r="O98" s="34" t="str">
        <x:v>Jungle Hat（触发器!D48）</x:v>
      </x:c>
      <x:c r="P98" s="34" t="str">
        <x:v>扩展</x:v>
      </x:c>
    </x:row>
    <x:row r="99" ht="30" customHeight="1">
      <x:c r="A99" s="35" t="str">
        <x:v>I094</x:v>
      </x:c>
      <x:c r="B99" s="35" t="str">
        <x:v>礼帽</x:v>
      </x:c>
      <x:c r="C99" s="35" t="str">
        <x:v>稀有</x:v>
      </x:c>
      <x:c r="D99" s="37" t="n">
        <x:v>2</x:v>
      </x:c>
      <x:c r="E99" s="35" t="str">
        <x:v>三选一</x:v>
      </x:c>
      <x:c r="F99" s="39" t="str">
        <x:v>是</x:v>
      </x:c>
      <x:c r="G99" s="39" t="str">
        <x:v>永久</x:v>
      </x:c>
      <x:c r="H99" s="35" t="str">
        <x:v>生产事件</x:v>
      </x:c>
      <x:c r="I99" s="35" t="str">
        <x:v>与自己接触的物品生成货币时，额外生成1枚零钱。</x:v>
      </x:c>
      <x:c r="J99" s="35" t="str">
        <x:v>每回合1枚；不对遗物追加的产物触发</x:v>
      </x:c>
      <x:c r="K99" s="35" t="str">
        <x:v>探险</x:v>
      </x:c>
      <x:c r="L99" s="35" t="str">
        <x:v>装备、货币辅助</x:v>
      </x:c>
      <x:c r="M99" s="35" t="str">
        <x:v>高帽形</x:v>
      </x:c>
      <x:c r="N99" s="35" t="str">
        <x:v>不规则形</x:v>
      </x:c>
      <x:c r="O99" s="35" t="str">
        <x:v>Tophat（触发器!D99）</x:v>
      </x:c>
      <x:c r="P99" s="35" t="str">
        <x:v>扩展</x:v>
      </x:c>
    </x:row>
    <x:row r="100" ht="30" customHeight="1">
      <x:c r="A100" s="34" t="str">
        <x:v>I095</x:v>
      </x:c>
      <x:c r="B100" s="34" t="str">
        <x:v>罗盘</x:v>
      </x:c>
      <x:c r="C100" s="34" t="str">
        <x:v>优秀</x:v>
      </x:c>
      <x:c r="D100" s="36" t="n">
        <x:v>2</x:v>
      </x:c>
      <x:c r="E100" s="34" t="str">
        <x:v>三选一</x:v>
      </x:c>
      <x:c r="F100" s="38" t="str">
        <x:v>是</x:v>
      </x:c>
      <x:c r="G100" s="38" t="str">
        <x:v>永久</x:v>
      </x:c>
      <x:c r="H100" s="34" t="str">
        <x:v>结算倍率</x:v>
      </x:c>
      <x:c r="I100" s="34" t="str">
        <x:v>相接触的物品中，冻结值最高者获得+50%倍率。</x:v>
      </x:c>
      <x:c r="J100" s="34" t="str">
        <x:v>1个目标</x:v>
      </x:c>
      <x:c r="K100" s="34" t="str">
        <x:v>探险</x:v>
      </x:c>
      <x:c r="L100" s="34" t="str">
        <x:v>装备、结算辅助</x:v>
      </x:c>
      <x:c r="M100" s="34" t="str">
        <x:v>圆形</x:v>
      </x:c>
      <x:c r="N100" s="34" t="str">
        <x:v>圆形</x:v>
      </x:c>
      <x:c r="O100" s="34" t="str">
        <x:v>Compass（触发器!D73）</x:v>
      </x:c>
      <x:c r="P100" s="34" t="str">
        <x:v>扩展</x:v>
      </x:c>
    </x:row>
    <x:row r="101" ht="30" customHeight="1">
      <x:c r="A101" s="35" t="str">
        <x:v>I096</x:v>
      </x:c>
      <x:c r="B101" s="35" t="str">
        <x:v>地图</x:v>
      </x:c>
      <x:c r="C101" s="35" t="str">
        <x:v>稀有</x:v>
      </x:c>
      <x:c r="D101" s="37" t="n">
        <x:v>2</x:v>
      </x:c>
      <x:c r="E101" s="35" t="str">
        <x:v>三选一</x:v>
      </x:c>
      <x:c r="F101" s="39" t="str">
        <x:v>是</x:v>
      </x:c>
      <x:c r="G101" s="39" t="str">
        <x:v>永久</x:v>
      </x:c>
      <x:c r="H101" s="35" t="str">
        <x:v>结算加分</x:v>
      </x:c>
      <x:c r="I101" s="35" t="str">
        <x:v>相接触的探险物品各本回合+4。</x:v>
      </x:c>
      <x:c r="J101" s="35" t="str">
        <x:v>最多影响3件</x:v>
      </x:c>
      <x:c r="K101" s="35" t="str">
        <x:v>探险</x:v>
      </x:c>
      <x:c r="L101" s="35" t="str">
        <x:v>装备、探险辅助</x:v>
      </x:c>
      <x:c r="M101" s="35" t="str">
        <x:v>方形</x:v>
      </x:c>
      <x:c r="N101" s="35" t="str">
        <x:v>方形</x:v>
      </x:c>
      <x:c r="O101" s="35" t="str">
        <x:v>Map（触发器!D85）</x:v>
      </x:c>
      <x:c r="P101" s="35" t="str">
        <x:v>首测候选</x:v>
      </x:c>
    </x:row>
    <x:row r="102" ht="30" customHeight="1">
      <x:c r="A102" s="34" t="str">
        <x:v>I097</x:v>
      </x:c>
      <x:c r="B102" s="34" t="str">
        <x:v>钥匙</x:v>
      </x:c>
      <x:c r="C102" s="34" t="str">
        <x:v>普通</x:v>
      </x:c>
      <x:c r="D102" s="36" t="n">
        <x:v>1</x:v>
      </x:c>
      <x:c r="E102" s="34" t="str">
        <x:v>三选一；生成：遗物备用钥匙圈</x:v>
      </x:c>
      <x:c r="F102" s="38" t="str">
        <x:v>是</x:v>
      </x:c>
      <x:c r="G102" s="38" t="str">
        <x:v>永久</x:v>
      </x:c>
      <x:c r="H102" s="34" t="str">
        <x:v>被消耗</x:v>
      </x:c>
      <x:c r="I102" s="34" t="str">
        <x:v>被宝箱消耗时，额外记分3。</x:v>
      </x:c>
      <x:c r="J102" s="34" t="str">
        <x:v>同一实例每回合1次</x:v>
      </x:c>
      <x:c r="K102" s="34" t="str">
        <x:v>探险</x:v>
      </x:c>
      <x:c r="L102" s="34" t="str">
        <x:v>探险、消耗材料</x:v>
      </x:c>
      <x:c r="M102" s="34" t="str">
        <x:v>钥匙形</x:v>
      </x:c>
      <x:c r="N102" s="34" t="str">
        <x:v>不规则形</x:v>
      </x:c>
      <x:c r="O102" s="34" t="str">
        <x:v>Treasure Chest（触发器!D61）</x:v>
      </x:c>
      <x:c r="P102" s="34" t="str">
        <x:v>首测候选</x:v>
      </x:c>
    </x:row>
    <x:row r="103" ht="30" customHeight="1">
      <x:c r="A103" s="35" t="str">
        <x:v>I098</x:v>
      </x:c>
      <x:c r="B103" s="35" t="str">
        <x:v>宝箱</x:v>
      </x:c>
      <x:c r="C103" s="35" t="str">
        <x:v>稀有</x:v>
      </x:c>
      <x:c r="D103" s="37" t="n">
        <x:v>2</x:v>
      </x:c>
      <x:c r="E103" s="35" t="str">
        <x:v>三选一</x:v>
      </x:c>
      <x:c r="F103" s="39" t="str">
        <x:v>是</x:v>
      </x:c>
      <x:c r="G103" s="39" t="str">
        <x:v>永久</x:v>
      </x:c>
      <x:c r="H103" s="35" t="str">
        <x:v>接触</x:v>
      </x:c>
      <x:c r="I103" s="35" t="str">
        <x:v>接触钥匙时，消耗该钥匙及自己，生成1枚宝藏徽记和1颗晶屑。</x:v>
      </x:c>
      <x:c r="J103" s="35" t="str">
        <x:v>同一实例每回合1次</x:v>
      </x:c>
      <x:c r="K103" s="35" t="str">
        <x:v>探险</x:v>
      </x:c>
      <x:c r="L103" s="35" t="str">
        <x:v>探险、生产者</x:v>
      </x:c>
      <x:c r="M103" s="35" t="str">
        <x:v>长方形</x:v>
      </x:c>
      <x:c r="N103" s="35" t="str">
        <x:v>长条形</x:v>
      </x:c>
      <x:c r="O103" s="35" t="str">
        <x:v>Treasure Chest（触发器!D61）</x:v>
      </x:c>
      <x:c r="P103" s="35" t="str">
        <x:v>首测候选</x:v>
      </x:c>
    </x:row>
    <x:row r="104" ht="30" customHeight="1">
      <x:c r="A104" s="34" t="str">
        <x:v>I099</x:v>
      </x:c>
      <x:c r="B104" s="34" t="str">
        <x:v>训练木偶</x:v>
      </x:c>
      <x:c r="C104" s="34" t="str">
        <x:v>普通</x:v>
      </x:c>
      <x:c r="D104" s="36" t="n">
        <x:v>3</x:v>
      </x:c>
      <x:c r="E104" s="34" t="str">
        <x:v>三选一</x:v>
      </x:c>
      <x:c r="F104" s="38" t="str">
        <x:v>是</x:v>
      </x:c>
      <x:c r="G104" s="38" t="str">
        <x:v>永久</x:v>
      </x:c>
      <x:c r="H104" s="34" t="str">
        <x:v>受伤及结算加分</x:v>
      </x:c>
      <x:c r="I104" s="34" t="str">
        <x:v>每实际受到1点伤害，自己本回合+3；累计3伤害时再+3，本回合停止受伤。</x:v>
      </x:c>
      <x:c r="J104" s="34" t="str">
        <x:v>每回合最多3伤害；下回合恢复</x:v>
      </x:c>
      <x:c r="K104" s="34" t="str">
        <x:v>探险</x:v>
      </x:c>
      <x:c r="L104" s="34" t="str">
        <x:v>探险、可攻击</x:v>
      </x:c>
      <x:c r="M104" s="34" t="str">
        <x:v>人形</x:v>
      </x:c>
      <x:c r="N104" s="34" t="str">
        <x:v>不规则形</x:v>
      </x:c>
      <x:c r="O104" s="34" t="str">
        <x:v>Practice Dummy（触发器!D54）</x:v>
      </x:c>
      <x:c r="P104" s="34" t="str">
        <x:v>首测候选</x:v>
      </x:c>
    </x:row>
    <x:row r="105" ht="30" customHeight="1">
      <x:c r="A105" s="35" t="str">
        <x:v>I100</x:v>
      </x:c>
      <x:c r="B105" s="35" t="str">
        <x:v>守门巨像</x:v>
      </x:c>
      <x:c r="C105" s="35" t="str">
        <x:v>史诗</x:v>
      </x:c>
      <x:c r="D105" s="37" t="n">
        <x:v>4</x:v>
      </x:c>
      <x:c r="E105" s="35" t="str">
        <x:v>三选一</x:v>
      </x:c>
      <x:c r="F105" s="39" t="str">
        <x:v>是</x:v>
      </x:c>
      <x:c r="G105" s="39" t="str">
        <x:v>永久</x:v>
      </x:c>
      <x:c r="H105" s="35" t="str">
        <x:v>受伤</x:v>
      </x:c>
      <x:c r="I105" s="35" t="str">
        <x:v>本回合累计受到3伤害时，消耗自己，生成1座奖杯和1枚零钱。</x:v>
      </x:c>
      <x:c r="J105" s="35" t="str">
        <x:v>同一实例每回合1次；伤害不跨回合</x:v>
      </x:c>
      <x:c r="K105" s="35" t="str">
        <x:v>探险</x:v>
      </x:c>
      <x:c r="L105" s="35" t="str">
        <x:v>探险、可攻击、生产者</x:v>
      </x:c>
      <x:c r="M105" s="35" t="str">
        <x:v>宽梯形</x:v>
      </x:c>
      <x:c r="N105" s="35" t="str">
        <x:v>不规则形</x:v>
      </x:c>
      <x:c r="O105" s="35" t="str">
        <x:v>Cave Troll（触发器!D37）；Wyvern（触发器!D66）</x:v>
      </x:c>
      <x:c r="P105" s="35" t="str">
        <x:v>扩展</x:v>
      </x:c>
    </x:row>
    <x:row r="106" ht="30" customHeight="1">
      <x:c r="A106" s="34" t="str">
        <x:v>I101</x:v>
      </x:c>
      <x:c r="B106" s="34" t="str">
        <x:v>洞穴石</x:v>
      </x:c>
      <x:c r="C106" s="34" t="str">
        <x:v>普通</x:v>
      </x:c>
      <x:c r="D106" s="36" t="n">
        <x:v>2</x:v>
      </x:c>
      <x:c r="E106" s="34" t="str">
        <x:v>三选一</x:v>
      </x:c>
      <x:c r="F106" s="38" t="str">
        <x:v>是</x:v>
      </x:c>
      <x:c r="G106" s="38" t="str">
        <x:v>永久</x:v>
      </x:c>
      <x:c r="H106" s="34" t="str">
        <x:v>接触</x:v>
      </x:c>
      <x:c r="I106" s="34" t="str">
        <x:v>接触另一个洞穴石时，双方本回合各+3。</x:v>
      </x:c>
      <x:c r="J106" s="34" t="str">
        <x:v>同一对每回合只触发1次；每件最多参与3对</x:v>
      </x:c>
      <x:c r="K106" s="34" t="str">
        <x:v>连锁</x:v>
      </x:c>
      <x:c r="L106" s="34" t="str">
        <x:v>连锁</x:v>
      </x:c>
      <x:c r="M106" s="34" t="str">
        <x:v>拱形</x:v>
      </x:c>
      <x:c r="N106" s="34" t="str">
        <x:v>弧形</x:v>
      </x:c>
      <x:c r="O106" s="34" t="str">
        <x:v>Cave（触发器!D13）</x:v>
      </x:c>
      <x:c r="P106" s="34" t="str">
        <x:v>首测候选</x:v>
      </x:c>
    </x:row>
    <x:row r="107" ht="30" customHeight="1">
      <x:c r="A107" s="35" t="str">
        <x:v>I102</x:v>
      </x:c>
      <x:c r="B107" s="35" t="str">
        <x:v>接力棒</x:v>
      </x:c>
      <x:c r="C107" s="35" t="str">
        <x:v>普通</x:v>
      </x:c>
      <x:c r="D107" s="37" t="n">
        <x:v>1</x:v>
      </x:c>
      <x:c r="E107" s="35" t="str">
        <x:v>三选一</x:v>
      </x:c>
      <x:c r="F107" s="39" t="str">
        <x:v>是</x:v>
      </x:c>
      <x:c r="G107" s="39" t="str">
        <x:v>永久</x:v>
      </x:c>
      <x:c r="H107" s="35" t="str">
        <x:v>接触</x:v>
      </x:c>
      <x:c r="I107" s="35" t="str">
        <x:v>使接触的非连锁物品本回合+2；该目标此前已被其他物品增值过时，再+2。</x:v>
      </x:c>
      <x:c r="J107" s="35" t="str">
        <x:v>每目标1次；最多3件</x:v>
      </x:c>
      <x:c r="K107" s="35" t="str">
        <x:v>连锁</x:v>
      </x:c>
      <x:c r="L107" s="35" t="str">
        <x:v>连锁</x:v>
      </x:c>
      <x:c r="M107" s="35" t="str">
        <x:v>长棒形</x:v>
      </x:c>
      <x:c r="N107" s="35" t="str">
        <x:v>长条形</x:v>
      </x:c>
      <x:c r="O107" s="35" t="str">
        <x:v>Cave（触发器!D13）</x:v>
      </x:c>
      <x:c r="P107" s="35" t="str">
        <x:v>首测候选</x:v>
      </x:c>
    </x:row>
    <x:row r="108" ht="30" customHeight="1">
      <x:c r="A108" s="34" t="str">
        <x:v>I103</x:v>
      </x:c>
      <x:c r="B108" s="34" t="str">
        <x:v>多米诺</x:v>
      </x:c>
      <x:c r="C108" s="34" t="str">
        <x:v>优秀</x:v>
      </x:c>
      <x:c r="D108" s="36" t="n">
        <x:v>2</x:v>
      </x:c>
      <x:c r="E108" s="34" t="str">
        <x:v>三选一</x:v>
      </x:c>
      <x:c r="F108" s="38" t="str">
        <x:v>是</x:v>
      </x:c>
      <x:c r="G108" s="38" t="str">
        <x:v>永久</x:v>
      </x:c>
      <x:c r="H108" s="34" t="str">
        <x:v>接触</x:v>
      </x:c>
      <x:c r="I108" s="34" t="str">
        <x:v>首次接触另一个多米诺时，双方本回合各+4。</x:v>
      </x:c>
      <x:c r="J108" s="34" t="str">
        <x:v>每件每回合只参与1次配对</x:v>
      </x:c>
      <x:c r="K108" s="34" t="str">
        <x:v>连锁</x:v>
      </x:c>
      <x:c r="L108" s="34" t="str">
        <x:v>连锁、成簇</x:v>
      </x:c>
      <x:c r="M108" s="34" t="str">
        <x:v>长方形</x:v>
      </x:c>
      <x:c r="N108" s="34" t="str">
        <x:v>长条形</x:v>
      </x:c>
      <x:c r="O108" s="34" t="str">
        <x:v>原创</x:v>
      </x:c>
      <x:c r="P108" s="34" t="str">
        <x:v>扩展</x:v>
      </x:c>
    </x:row>
    <x:row r="109" ht="38" customHeight="1">
      <x:c r="A109" s="35" t="str">
        <x:v>I104</x:v>
      </x:c>
      <x:c r="B109" s="35" t="str">
        <x:v>印章</x:v>
      </x:c>
      <x:c r="C109" s="35" t="str">
        <x:v>普通</x:v>
      </x:c>
      <x:c r="D109" s="37" t="n">
        <x:v>1</x:v>
      </x:c>
      <x:c r="E109" s="35" t="str">
        <x:v>三选一</x:v>
      </x:c>
      <x:c r="F109" s="39" t="str">
        <x:v>是</x:v>
      </x:c>
      <x:c r="G109" s="39" t="str">
        <x:v>永久</x:v>
      </x:c>
      <x:c r="H109" s="35" t="str">
        <x:v>接触</x:v>
      </x:c>
      <x:c r="I109" s="35" t="str">
        <x:v>接触信封或纪念票时，使其永久基础分+1。</x:v>
      </x:c>
      <x:c r="J109" s="35" t="str">
        <x:v>每回合1件；同一目标每回合仅受1枚印章增值</x:v>
      </x:c>
      <x:c r="K109" s="35" t="str">
        <x:v>连锁</x:v>
      </x:c>
      <x:c r="L109" s="35" t="str">
        <x:v>连锁、工具</x:v>
      </x:c>
      <x:c r="M109" s="35" t="str">
        <x:v>方柄形</x:v>
      </x:c>
      <x:c r="N109" s="35" t="str">
        <x:v>不规则形</x:v>
      </x:c>
      <x:c r="O109" s="35" t="str">
        <x:v>原创</x:v>
      </x:c>
      <x:c r="P109" s="35" t="str">
        <x:v>首测候选</x:v>
      </x:c>
    </x:row>
    <x:row r="110" ht="30" customHeight="1">
      <x:c r="A110" s="34" t="str">
        <x:v>I105</x:v>
      </x:c>
      <x:c r="B110" s="34" t="str">
        <x:v>邮筒</x:v>
      </x:c>
      <x:c r="C110" s="34" t="str">
        <x:v>优秀</x:v>
      </x:c>
      <x:c r="D110" s="36" t="n">
        <x:v>2</x:v>
      </x:c>
      <x:c r="E110" s="34" t="str">
        <x:v>三选一</x:v>
      </x:c>
      <x:c r="F110" s="38" t="str">
        <x:v>是</x:v>
      </x:c>
      <x:c r="G110" s="38" t="str">
        <x:v>永久</x:v>
      </x:c>
      <x:c r="H110" s="34" t="str">
        <x:v>接触</x:v>
      </x:c>
      <x:c r="I110" s="34" t="str">
        <x:v>消耗1件信封或纪念票，记分等于其当前值+6。</x:v>
      </x:c>
      <x:c r="J110" s="34" t="str">
        <x:v>每回合最多2件</x:v>
      </x:c>
      <x:c r="K110" s="34" t="str">
        <x:v>连锁</x:v>
      </x:c>
      <x:c r="L110" s="34" t="str">
        <x:v>连锁、消费者</x:v>
      </x:c>
      <x:c r="M110" s="34" t="str">
        <x:v>圆柱形</x:v>
      </x:c>
      <x:c r="N110" s="34" t="str">
        <x:v>圆形</x:v>
      </x:c>
      <x:c r="O110" s="34" t="str">
        <x:v>Ballmart（触发器!D3）</x:v>
      </x:c>
      <x:c r="P110" s="34" t="str">
        <x:v>扩展</x:v>
      </x:c>
    </x:row>
    <x:row r="111" ht="30" customHeight="1">
      <x:c r="A111" s="35" t="str">
        <x:v>I106</x:v>
      </x:c>
      <x:c r="B111" s="35" t="str">
        <x:v>信封</x:v>
      </x:c>
      <x:c r="C111" s="35" t="str">
        <x:v>普通</x:v>
      </x:c>
      <x:c r="D111" s="37" t="n">
        <x:v>1</x:v>
      </x:c>
      <x:c r="E111" s="35" t="str">
        <x:v>三选一</x:v>
      </x:c>
      <x:c r="F111" s="39" t="str">
        <x:v>是</x:v>
      </x:c>
      <x:c r="G111" s="39" t="str">
        <x:v>永久</x:v>
      </x:c>
      <x:c r="H111" s="35" t="str">
        <x:v>结算加分</x:v>
      </x:c>
      <x:c r="I111" s="35" t="str">
        <x:v>本回合接触过印章时，自己本回合+4。</x:v>
      </x:c>
      <x:c r="J111" s="35" t="str">
        <x:v>每回合1次</x:v>
      </x:c>
      <x:c r="K111" s="35" t="str">
        <x:v>连锁</x:v>
      </x:c>
      <x:c r="L111" s="35" t="str">
        <x:v>连锁、消耗材料</x:v>
      </x:c>
      <x:c r="M111" s="35" t="str">
        <x:v>菱形</x:v>
      </x:c>
      <x:c r="N111" s="35" t="str">
        <x:v>不规则形</x:v>
      </x:c>
      <x:c r="O111" s="35" t="str">
        <x:v>原创</x:v>
      </x:c>
      <x:c r="P111" s="35" t="str">
        <x:v>首测候选</x:v>
      </x:c>
    </x:row>
    <x:row r="112" ht="30" customHeight="1">
      <x:c r="A112" s="34" t="str">
        <x:v>I107</x:v>
      </x:c>
      <x:c r="B112" s="34" t="str">
        <x:v>拼图块</x:v>
      </x:c>
      <x:c r="C112" s="34" t="str">
        <x:v>优秀</x:v>
      </x:c>
      <x:c r="D112" s="36" t="n">
        <x:v>2</x:v>
      </x:c>
      <x:c r="E112" s="34" t="str">
        <x:v>三选一</x:v>
      </x:c>
      <x:c r="F112" s="38" t="str">
        <x:v>是</x:v>
      </x:c>
      <x:c r="G112" s="38" t="str">
        <x:v>永久</x:v>
      </x:c>
      <x:c r="H112" s="34" t="str">
        <x:v>结算加分</x:v>
      </x:c>
      <x:c r="I112" s="34" t="str">
        <x:v>自己所在拼图接触组每有1件其他拼图，自己本回合+3。</x:v>
      </x:c>
      <x:c r="J112" s="34" t="str">
        <x:v>最多计3件</x:v>
      </x:c>
      <x:c r="K112" s="34" t="str">
        <x:v>连锁</x:v>
      </x:c>
      <x:c r="L112" s="34" t="str">
        <x:v>连锁、成簇</x:v>
      </x:c>
      <x:c r="M112" s="34" t="str">
        <x:v>凹凸方形</x:v>
      </x:c>
      <x:c r="N112" s="34" t="str">
        <x:v>不规则形</x:v>
      </x:c>
      <x:c r="O112" s="34" t="str">
        <x:v>Clover（触发器!D40）；Cairn（触发器!D34）</x:v>
      </x:c>
      <x:c r="P112" s="34" t="str">
        <x:v>扩展</x:v>
      </x:c>
    </x:row>
    <x:row r="113" ht="30" customHeight="1">
      <x:c r="A113" s="35" t="str">
        <x:v>I108</x:v>
      </x:c>
      <x:c r="B113" s="35" t="str">
        <x:v>榫卯块</x:v>
      </x:c>
      <x:c r="C113" s="35" t="str">
        <x:v>优秀</x:v>
      </x:c>
      <x:c r="D113" s="37" t="n">
        <x:v>2</x:v>
      </x:c>
      <x:c r="E113" s="35" t="str">
        <x:v>三选一</x:v>
      </x:c>
      <x:c r="F113" s="39" t="str">
        <x:v>是</x:v>
      </x:c>
      <x:c r="G113" s="39" t="str">
        <x:v>永久</x:v>
      </x:c>
      <x:c r="H113" s="35" t="str">
        <x:v>结算加分</x:v>
      </x:c>
      <x:c r="I113" s="35" t="str">
        <x:v>同时接触标准形状为圆形和方形的物品时，这些目标各本回合+4。</x:v>
      </x:c>
      <x:c r="J113" s="35" t="str">
        <x:v>最多影响4件</x:v>
      </x:c>
      <x:c r="K113" s="35" t="str">
        <x:v>连锁</x:v>
      </x:c>
      <x:c r="L113" s="35" t="str">
        <x:v>连锁、辅助</x:v>
      </x:c>
      <x:c r="M113" s="35" t="str">
        <x:v>凹字形</x:v>
      </x:c>
      <x:c r="N113" s="35" t="str">
        <x:v>凹槽形</x:v>
      </x:c>
      <x:c r="O113" s="35" t="str">
        <x:v>原创</x:v>
      </x:c>
      <x:c r="P113" s="35" t="str">
        <x:v>扩展</x:v>
      </x:c>
    </x:row>
    <x:row r="114" ht="30" customHeight="1">
      <x:c r="A114" s="34" t="str">
        <x:v>I109</x:v>
      </x:c>
      <x:c r="B114" s="34" t="str">
        <x:v>星图</x:v>
      </x:c>
      <x:c r="C114" s="34" t="str">
        <x:v>稀有</x:v>
      </x:c>
      <x:c r="D114" s="36" t="n">
        <x:v>2</x:v>
      </x:c>
      <x:c r="E114" s="34" t="str">
        <x:v>三选一</x:v>
      </x:c>
      <x:c r="F114" s="38" t="str">
        <x:v>是</x:v>
      </x:c>
      <x:c r="G114" s="38" t="str">
        <x:v>永久</x:v>
      </x:c>
      <x:c r="H114" s="34" t="str">
        <x:v>结算倍率</x:v>
      </x:c>
      <x:c r="I114" s="34" t="str">
        <x:v>相接触的物品中，本回合曾被至少2种不同物品增值过的目标，获得+50%倍率。</x:v>
      </x:c>
      <x:c r="J114" s="34" t="str">
        <x:v>最多影响3件</x:v>
      </x:c>
      <x:c r="K114" s="34" t="str">
        <x:v>连锁</x:v>
      </x:c>
      <x:c r="L114" s="34" t="str">
        <x:v>连锁、结算核心</x:v>
      </x:c>
      <x:c r="M114" s="34" t="str">
        <x:v>星形</x:v>
      </x:c>
      <x:c r="N114" s="34" t="str">
        <x:v>不规则形</x:v>
      </x:c>
      <x:c r="O114" s="34" t="str">
        <x:v>Cave（触发器!D13）</x:v>
      </x:c>
      <x:c r="P114" s="34" t="str">
        <x:v>首测候选</x:v>
      </x:c>
    </x:row>
    <x:row r="115" ht="38" customHeight="1">
      <x:c r="A115" s="35" t="str">
        <x:v>I110</x:v>
      </x:c>
      <x:c r="B115" s="35" t="str">
        <x:v>连锁终端</x:v>
      </x:c>
      <x:c r="C115" s="35" t="str">
        <x:v>史诗</x:v>
      </x:c>
      <x:c r="D115" s="37" t="n">
        <x:v>2</x:v>
      </x:c>
      <x:c r="E115" s="35" t="str">
        <x:v>三选一</x:v>
      </x:c>
      <x:c r="F115" s="39" t="str">
        <x:v>是</x:v>
      </x:c>
      <x:c r="G115" s="39" t="str">
        <x:v>永久</x:v>
      </x:c>
      <x:c r="H115" s="35" t="str">
        <x:v>结算加分</x:v>
      </x:c>
      <x:c r="I115" s="35" t="str">
        <x:v>相接触的非连锁物品中，本回合曾被至少2种不同物品增值过的目标，各本回合+6。</x:v>
      </x:c>
      <x:c r="J115" s="35" t="str">
        <x:v>最多影响3件</x:v>
      </x:c>
      <x:c r="K115" s="35" t="str">
        <x:v>连锁</x:v>
      </x:c>
      <x:c r="L115" s="35" t="str">
        <x:v>连锁、结算核心</x:v>
      </x:c>
      <x:c r="M115" s="35" t="str">
        <x:v>六边形</x:v>
      </x:c>
      <x:c r="N115" s="35" t="str">
        <x:v>不规则形</x:v>
      </x:c>
      <x:c r="O115" s="35" t="str">
        <x:v>Cave（触发器!D13）；Mysterious Megalith（触发器!D116）</x:v>
      </x:c>
      <x:c r="P115" s="35" t="str">
        <x:v>扩展</x:v>
      </x:c>
    </x:row>
    <x:row r="116" ht="30" customHeight="1">
      <x:c r="A116" s="34" t="str">
        <x:v>I111</x:v>
      </x:c>
      <x:c r="B116" s="34" t="str">
        <x:v>秒表</x:v>
      </x:c>
      <x:c r="C116" s="34" t="str">
        <x:v>普通</x:v>
      </x:c>
      <x:c r="D116" s="36" t="n">
        <x:v>1</x:v>
      </x:c>
      <x:c r="E116" s="34" t="str">
        <x:v>三选一</x:v>
      </x:c>
      <x:c r="F116" s="38" t="str">
        <x:v>是</x:v>
      </x:c>
      <x:c r="G116" s="38" t="str">
        <x:v>永久</x:v>
      </x:c>
      <x:c r="H116" s="34" t="str">
        <x:v>接触</x:v>
      </x:c>
      <x:c r="I116" s="34" t="str">
        <x:v>首次接触其他物品时，自己本回合增加已经过去的整秒数。</x:v>
      </x:c>
      <x:c r="J116" s="34" t="str">
        <x:v>每回合1次；最多+9</x:v>
      </x:c>
      <x:c r="K116" s="34" t="str">
        <x:v>结算</x:v>
      </x:c>
      <x:c r="L116" s="34" t="str">
        <x:v>结算、计时</x:v>
      </x:c>
      <x:c r="M116" s="34" t="str">
        <x:v>圆形</x:v>
      </x:c>
      <x:c r="N116" s="34" t="str">
        <x:v>圆形</x:v>
      </x:c>
      <x:c r="O116" s="34" t="str">
        <x:v>Stopwatch（触发器!D25）</x:v>
      </x:c>
      <x:c r="P116" s="34" t="str">
        <x:v>扩展</x:v>
      </x:c>
    </x:row>
    <x:row r="117" ht="30" customHeight="1">
      <x:c r="A117" s="35" t="str">
        <x:v>I112</x:v>
      </x:c>
      <x:c r="B117" s="35" t="str">
        <x:v>沙漏</x:v>
      </x:c>
      <x:c r="C117" s="35" t="str">
        <x:v>优秀</x:v>
      </x:c>
      <x:c r="D117" s="37" t="n">
        <x:v>2</x:v>
      </x:c>
      <x:c r="E117" s="35" t="str">
        <x:v>三选一</x:v>
      </x:c>
      <x:c r="F117" s="39" t="str">
        <x:v>是</x:v>
      </x:c>
      <x:c r="G117" s="39" t="str">
        <x:v>永久</x:v>
      </x:c>
      <x:c r="H117" s="35" t="str">
        <x:v>结算末</x:v>
      </x:c>
      <x:c r="I117" s="35" t="str">
        <x:v>相接触的成长物品中，本回合已触发自身永久成长的1件，额外永久基础分+1。</x:v>
      </x:c>
      <x:c r="J117" s="35" t="str">
        <x:v>按基础分最低者选；来自沙漏累计+5封顶</x:v>
      </x:c>
      <x:c r="K117" s="35" t="str">
        <x:v>结算</x:v>
      </x:c>
      <x:c r="L117" s="35" t="str">
        <x:v>结算、成长辅助</x:v>
      </x:c>
      <x:c r="M117" s="35" t="str">
        <x:v>沙漏形</x:v>
      </x:c>
      <x:c r="N117" s="35" t="str">
        <x:v>不规则形</x:v>
      </x:c>
      <x:c r="O117" s="35" t="str">
        <x:v>Hourglass（增益!D39）</x:v>
      </x:c>
      <x:c r="P117" s="35" t="str">
        <x:v>首测候选</x:v>
      </x:c>
    </x:row>
    <x:row r="118" ht="30" customHeight="1">
      <x:c r="A118" s="34" t="str">
        <x:v>I113</x:v>
      </x:c>
      <x:c r="B118" s="34" t="str">
        <x:v>老树桩</x:v>
      </x:c>
      <x:c r="C118" s="34" t="str">
        <x:v>普通</x:v>
      </x:c>
      <x:c r="D118" s="36" t="n">
        <x:v>1</x:v>
      </x:c>
      <x:c r="E118" s="34" t="str">
        <x:v>三选一</x:v>
      </x:c>
      <x:c r="F118" s="38" t="str">
        <x:v>是</x:v>
      </x:c>
      <x:c r="G118" s="38" t="str">
        <x:v>永久</x:v>
      </x:c>
      <x:c r="H118" s="34" t="str">
        <x:v>结算末</x:v>
      </x:c>
      <x:c r="I118" s="34" t="str">
        <x:v>本回合从牌库抽中且存活时，自己永久基础分+1。</x:v>
      </x:c>
      <x:c r="J118" s="34" t="str">
        <x:v>永久累计+8封顶</x:v>
      </x:c>
      <x:c r="K118" s="34" t="str">
        <x:v>结算</x:v>
      </x:c>
      <x:c r="L118" s="34" t="str">
        <x:v>植物、成长</x:v>
      </x:c>
      <x:c r="M118" s="34" t="str">
        <x:v>圆柱形</x:v>
      </x:c>
      <x:c r="N118" s="34" t="str">
        <x:v>圆形</x:v>
      </x:c>
      <x:c r="O118" s="34" t="str">
        <x:v>Tree（触发器!D28）</x:v>
      </x:c>
      <x:c r="P118" s="34" t="str">
        <x:v>首测候选</x:v>
      </x:c>
    </x:row>
    <x:row r="119" ht="30" customHeight="1">
      <x:c r="A119" s="35" t="str">
        <x:v>I114</x:v>
      </x:c>
      <x:c r="B119" s="35" t="str">
        <x:v>年轮盘</x:v>
      </x:c>
      <x:c r="C119" s="35" t="str">
        <x:v>优秀</x:v>
      </x:c>
      <x:c r="D119" s="37" t="n">
        <x:v>2</x:v>
      </x:c>
      <x:c r="E119" s="35" t="str">
        <x:v>三选一</x:v>
      </x:c>
      <x:c r="F119" s="39" t="str">
        <x:v>是</x:v>
      </x:c>
      <x:c r="G119" s="39" t="str">
        <x:v>永久</x:v>
      </x:c>
      <x:c r="H119" s="35" t="str">
        <x:v>结算加分</x:v>
      </x:c>
      <x:c r="I119" s="35" t="str">
        <x:v>每接触1件永久基础分至少6的成长物品，自己本回合+4。</x:v>
      </x:c>
      <x:c r="J119" s="35" t="str">
        <x:v>最多计3件</x:v>
      </x:c>
      <x:c r="K119" s="35" t="str">
        <x:v>结算</x:v>
      </x:c>
      <x:c r="L119" s="35" t="str">
        <x:v>结算、成长辅助</x:v>
      </x:c>
      <x:c r="M119" s="35" t="str">
        <x:v>圆形</x:v>
      </x:c>
      <x:c r="N119" s="35" t="str">
        <x:v>圆形</x:v>
      </x:c>
      <x:c r="O119" s="35" t="str">
        <x:v>Empyrean Egg（触发器!D110）</x:v>
      </x:c>
      <x:c r="P119" s="35" t="str">
        <x:v>扩展</x:v>
      </x:c>
    </x:row>
    <x:row r="120" ht="30" customHeight="1">
      <x:c r="A120" s="34" t="str">
        <x:v>I115</x:v>
      </x:c>
      <x:c r="B120" s="34" t="str">
        <x:v>时光胶囊</x:v>
      </x:c>
      <x:c r="C120" s="34" t="str">
        <x:v>稀有</x:v>
      </x:c>
      <x:c r="D120" s="36" t="n">
        <x:v>1</x:v>
      </x:c>
      <x:c r="E120" s="34" t="str">
        <x:v>三选一</x:v>
      </x:c>
      <x:c r="F120" s="38" t="str">
        <x:v>是</x:v>
      </x:c>
      <x:c r="G120" s="38" t="str">
        <x:v>永久</x:v>
      </x:c>
      <x:c r="H120" s="34" t="str">
        <x:v>结算末</x:v>
      </x:c>
      <x:c r="I120" s="34" t="str">
        <x:v>存活结算后永久记录1次出场；第3次时永久变为古物奖章。</x:v>
      </x:c>
      <x:c r="J120" s="34" t="str">
        <x:v>变形1次；变形不触发消耗或生成</x:v>
      </x:c>
      <x:c r="K120" s="34" t="str">
        <x:v>结算</x:v>
      </x:c>
      <x:c r="L120" s="34" t="str">
        <x:v>结算、成长</x:v>
      </x:c>
      <x:c r="M120" s="34" t="str">
        <x:v>胶囊形</x:v>
      </x:c>
      <x:c r="N120" s="34" t="str">
        <x:v>长条形</x:v>
      </x:c>
      <x:c r="O120" s="34" t="str">
        <x:v>Time Capsule（触发器!D98）</x:v>
      </x:c>
      <x:c r="P120" s="34" t="str">
        <x:v>扩展</x:v>
      </x:c>
    </x:row>
    <x:row r="121" ht="30" customHeight="1">
      <x:c r="A121" s="35" t="str">
        <x:v>I116</x:v>
      </x:c>
      <x:c r="B121" s="35" t="str">
        <x:v>放大镜</x:v>
      </x:c>
      <x:c r="C121" s="35" t="str">
        <x:v>稀有</x:v>
      </x:c>
      <x:c r="D121" s="37" t="n">
        <x:v>2</x:v>
      </x:c>
      <x:c r="E121" s="35" t="str">
        <x:v>三选一</x:v>
      </x:c>
      <x:c r="F121" s="39" t="str">
        <x:v>是</x:v>
      </x:c>
      <x:c r="G121" s="39" t="str">
        <x:v>永久</x:v>
      </x:c>
      <x:c r="H121" s="35" t="str">
        <x:v>结算倍率</x:v>
      </x:c>
      <x:c r="I121" s="35" t="str">
        <x:v>相接触的非工具物品中，冻结值最高者获得+100%倍率，但该冻结值需至少8。</x:v>
      </x:c>
      <x:c r="J121" s="35" t="str">
        <x:v>1个目标</x:v>
      </x:c>
      <x:c r="K121" s="35" t="str">
        <x:v>结算</x:v>
      </x:c>
      <x:c r="L121" s="35" t="str">
        <x:v>结算、工具</x:v>
      </x:c>
      <x:c r="M121" s="35" t="str">
        <x:v>圆柄形</x:v>
      </x:c>
      <x:c r="N121" s="35" t="str">
        <x:v>不规则形</x:v>
      </x:c>
      <x:c r="O121" s="35" t="str">
        <x:v>Compass（触发器!D73）</x:v>
      </x:c>
      <x:c r="P121" s="35" t="str">
        <x:v>首测候选</x:v>
      </x:c>
    </x:row>
    <x:row r="122" ht="30" customHeight="1">
      <x:c r="A122" s="34" t="str">
        <x:v>I117</x:v>
      </x:c>
      <x:c r="B122" s="34" t="str">
        <x:v>指挥旗</x:v>
      </x:c>
      <x:c r="C122" s="34" t="str">
        <x:v>优秀</x:v>
      </x:c>
      <x:c r="D122" s="36" t="n">
        <x:v>2</x:v>
      </x:c>
      <x:c r="E122" s="34" t="str">
        <x:v>三选一</x:v>
      </x:c>
      <x:c r="F122" s="38" t="str">
        <x:v>是</x:v>
      </x:c>
      <x:c r="G122" s="38" t="str">
        <x:v>永久</x:v>
      </x:c>
      <x:c r="H122" s="34" t="str">
        <x:v>结算加分</x:v>
      </x:c>
      <x:c r="I122" s="34" t="str">
        <x:v>相接触的物品中，冻结值最低的2件各本回合+4。</x:v>
      </x:c>
      <x:c r="J122" s="34" t="str">
        <x:v>最多2件</x:v>
      </x:c>
      <x:c r="K122" s="34" t="str">
        <x:v>结算</x:v>
      </x:c>
      <x:c r="L122" s="34" t="str">
        <x:v>结算、辅助</x:v>
      </x:c>
      <x:c r="M122" s="34" t="str">
        <x:v>三角形</x:v>
      </x:c>
      <x:c r="N122" s="34" t="str">
        <x:v>三角形</x:v>
      </x:c>
      <x:c r="O122" s="34" t="str">
        <x:v>原创</x:v>
      </x:c>
      <x:c r="P122" s="34" t="str">
        <x:v>首测候选</x:v>
      </x:c>
    </x:row>
    <x:row r="123" ht="38" customHeight="1">
      <x:c r="A123" s="35" t="str">
        <x:v>I118</x:v>
      </x:c>
      <x:c r="B123" s="35" t="str">
        <x:v>平衡秤</x:v>
      </x:c>
      <x:c r="C123" s="35" t="str">
        <x:v>稀有</x:v>
      </x:c>
      <x:c r="D123" s="37" t="n">
        <x:v>2</x:v>
      </x:c>
      <x:c r="E123" s="35" t="str">
        <x:v>三选一</x:v>
      </x:c>
      <x:c r="F123" s="39" t="str">
        <x:v>是</x:v>
      </x:c>
      <x:c r="G123" s="39" t="str">
        <x:v>永久</x:v>
      </x:c>
      <x:c r="H123" s="35" t="str">
        <x:v>结算加分</x:v>
      </x:c>
      <x:c r="I123" s="35" t="str">
        <x:v>比较自己接触的最高和最低冻结值，使最低者本回合增加差值的一半，向下取整。</x:v>
      </x:c>
      <x:c r="J123" s="35" t="str">
        <x:v>需2个不同目标；不扣高分者</x:v>
      </x:c>
      <x:c r="K123" s="35" t="str">
        <x:v>结算</x:v>
      </x:c>
      <x:c r="L123" s="35" t="str">
        <x:v>结算、工具</x:v>
      </x:c>
      <x:c r="M123" s="35" t="str">
        <x:v>丁字形</x:v>
      </x:c>
      <x:c r="N123" s="35" t="str">
        <x:v>不规则形</x:v>
      </x:c>
      <x:c r="O123" s="35" t="str">
        <x:v>Blender（增益!D35）</x:v>
      </x:c>
      <x:c r="P123" s="35" t="str">
        <x:v>首测候选</x:v>
      </x:c>
    </x:row>
    <x:row r="124" ht="38" customHeight="1">
      <x:c r="A124" s="34" t="str">
        <x:v>I119</x:v>
      </x:c>
      <x:c r="B124" s="34" t="str">
        <x:v>吊床</x:v>
      </x:c>
      <x:c r="C124" s="34" t="str">
        <x:v>普通</x:v>
      </x:c>
      <x:c r="D124" s="36" t="n">
        <x:v>3</x:v>
      </x:c>
      <x:c r="E124" s="34" t="str">
        <x:v>三选一</x:v>
      </x:c>
      <x:c r="F124" s="38" t="str">
        <x:v>是</x:v>
      </x:c>
      <x:c r="G124" s="38" t="str">
        <x:v>永久</x:v>
      </x:c>
      <x:c r="H124" s="34" t="str">
        <x:v>结算加分</x:v>
      </x:c>
      <x:c r="I124" s="34" t="str">
        <x:v>本回合仅接触过不超过2个其他实例时，自己本回合+6；冻结时接触植物，再+3。</x:v>
      </x:c>
      <x:c r="J124" s="34" t="str">
        <x:v>每回合1次</x:v>
      </x:c>
      <x:c r="K124" s="34" t="str">
        <x:v>结算</x:v>
      </x:c>
      <x:c r="L124" s="34" t="str">
        <x:v>结算、独处</x:v>
      </x:c>
      <x:c r="M124" s="34" t="str">
        <x:v>月牙形</x:v>
      </x:c>
      <x:c r="N124" s="34" t="str">
        <x:v>弧形</x:v>
      </x:c>
      <x:c r="O124" s="34" t="str">
        <x:v>Hammock（触发器!D15）</x:v>
      </x:c>
      <x:c r="P124" s="34" t="str">
        <x:v>扩展</x:v>
      </x:c>
    </x:row>
    <x:row r="125" ht="38" customHeight="1">
      <x:c r="A125" s="35" t="str">
        <x:v>I120</x:v>
      </x:c>
      <x:c r="B125" s="35" t="str">
        <x:v>桂冠</x:v>
      </x:c>
      <x:c r="C125" s="35" t="str">
        <x:v>史诗</x:v>
      </x:c>
      <x:c r="D125" s="37" t="n">
        <x:v>3</x:v>
      </x:c>
      <x:c r="E125" s="35" t="str">
        <x:v>三选一</x:v>
      </x:c>
      <x:c r="F125" s="39" t="str">
        <x:v>是</x:v>
      </x:c>
      <x:c r="G125" s="39" t="str">
        <x:v>永久</x:v>
      </x:c>
      <x:c r="H125" s="35" t="str">
        <x:v>结算倍率</x:v>
      </x:c>
      <x:c r="I125" s="35" t="str">
        <x:v>场上冻结值唯一最高的物品获得+100%倍率；其永久基础分至少10时，再获得+50%。</x:v>
      </x:c>
      <x:c r="J125" s="35" t="str">
        <x:v>并列最高则不生效</x:v>
      </x:c>
      <x:c r="K125" s="35" t="str">
        <x:v>结算</x:v>
      </x:c>
      <x:c r="L125" s="35" t="str">
        <x:v>结算、核心</x:v>
      </x:c>
      <x:c r="M125" s="35" t="str">
        <x:v>环形</x:v>
      </x:c>
      <x:c r="N125" s="35" t="str">
        <x:v>凹槽形</x:v>
      </x:c>
      <x:c r="O125" s="35" t="str">
        <x:v>Compass（触发器!D73）；Rainbow（触发器!D90）</x:v>
      </x:c>
      <x:c r="P125" s="35" t="str">
        <x:v>扩展</x:v>
      </x:c>
    </x:row>
    <x:row r="126" ht="30" customHeight="1">
      <x:c r="A126" s="34" t="str">
        <x:v>P001</x:v>
      </x:c>
      <x:c r="B126" s="34" t="str">
        <x:v>热餐</x:v>
      </x:c>
      <x:c r="C126" s="34" t="str">
        <x:v>稀有</x:v>
      </x:c>
      <x:c r="D126" s="36" t="n">
        <x:v>8</x:v>
      </x:c>
      <x:c r="E126" s="34" t="str">
        <x:v>生成：平底锅；黄玉可追加生成</x:v>
      </x:c>
      <x:c r="F126" s="38" t="str">
        <x:v>否</x:v>
      </x:c>
      <x:c r="G126" s="38" t="str">
        <x:v>永久</x:v>
      </x:c>
      <x:c r="H126" s="34" t="str">
        <x:v>—</x:v>
      </x:c>
      <x:c r="I126" s="34" t="str">
        <x:v>无额外能力。</x:v>
      </x:c>
      <x:c r="J126" s="34" t="str">
        <x:v>—</x:v>
      </x:c>
      <x:c r="K126" s="34" t="str">
        <x:v>烹饪</x:v>
      </x:c>
      <x:c r="L126" s="34" t="str">
        <x:v>食物、餐食、商品</x:v>
      </x:c>
      <x:c r="M126" s="34" t="str">
        <x:v>扁圆形</x:v>
      </x:c>
      <x:c r="N126" s="34" t="str">
        <x:v>圆形</x:v>
      </x:c>
      <x:c r="O126" s="34" t="str">
        <x:v>Chef's Pan（触发器!D39）</x:v>
      </x:c>
      <x:c r="P126" s="34" t="str">
        <x:v>随来源测试</x:v>
      </x:c>
    </x:row>
    <x:row r="127" ht="30" customHeight="1">
      <x:c r="A127" s="35" t="str">
        <x:v>P002</x:v>
      </x:c>
      <x:c r="B127" s="35" t="str">
        <x:v>烤吐司</x:v>
      </x:c>
      <x:c r="C127" s="35" t="str">
        <x:v>优秀</x:v>
      </x:c>
      <x:c r="D127" s="37" t="n">
        <x:v>7</x:v>
      </x:c>
      <x:c r="E127" s="35" t="str">
        <x:v>生成：烤面包架；黄玉可追加生成</x:v>
      </x:c>
      <x:c r="F127" s="39" t="str">
        <x:v>否</x:v>
      </x:c>
      <x:c r="G127" s="39" t="str">
        <x:v>永久</x:v>
      </x:c>
      <x:c r="H127" s="35" t="str">
        <x:v>被消耗</x:v>
      </x:c>
      <x:c r="I127" s="35" t="str">
        <x:v>被烹饪物品消耗时，额外记分3；同一实例每回合1次。</x:v>
      </x:c>
      <x:c r="J127" s="35" t="str">
        <x:v>同一实例每回合1次</x:v>
      </x:c>
      <x:c r="K127" s="35" t="str">
        <x:v>烹饪</x:v>
      </x:c>
      <x:c r="L127" s="35" t="str">
        <x:v>食物、餐食、商品</x:v>
      </x:c>
      <x:c r="M127" s="35" t="str">
        <x:v>圆角方形</x:v>
      </x:c>
      <x:c r="N127" s="35" t="str">
        <x:v>方形</x:v>
      </x:c>
      <x:c r="O127" s="35" t="str">
        <x:v>Bread（触发器!D6）</x:v>
      </x:c>
      <x:c r="P127" s="35" t="str">
        <x:v>随来源测试</x:v>
      </x:c>
    </x:row>
    <x:row r="128" ht="30" customHeight="1">
      <x:c r="A128" s="34" t="str">
        <x:v>P003</x:v>
      </x:c>
      <x:c r="B128" s="34" t="str">
        <x:v>水珠</x:v>
      </x:c>
      <x:c r="C128" s="34" t="str">
        <x:v>普通</x:v>
      </x:c>
      <x:c r="D128" s="36" t="n">
        <x:v>1</x:v>
      </x:c>
      <x:c r="E128" s="34" t="str">
        <x:v>生成：雨云、泉眼、冰块、遗物雨水桶、遗物冷凝管</x:v>
      </x:c>
      <x:c r="F128" s="38" t="str">
        <x:v>否</x:v>
      </x:c>
      <x:c r="G128" s="38" t="str">
        <x:v>永久</x:v>
      </x:c>
      <x:c r="H128" s="34" t="str">
        <x:v>—</x:v>
      </x:c>
      <x:c r="I128" s="34" t="str">
        <x:v>无额外能力。</x:v>
      </x:c>
      <x:c r="J128" s="34" t="str">
        <x:v>—</x:v>
      </x:c>
      <x:c r="K128" s="34" t="str">
        <x:v>元素</x:v>
      </x:c>
      <x:c r="L128" s="34" t="str">
        <x:v>水元素</x:v>
      </x:c>
      <x:c r="M128" s="34" t="str">
        <x:v>圆形</x:v>
      </x:c>
      <x:c r="N128" s="34" t="str">
        <x:v>圆形</x:v>
      </x:c>
      <x:c r="O128" s="34" t="str">
        <x:v>Ice Cubes（触发器!D16）；Lake（触发器!D49）</x:v>
      </x:c>
      <x:c r="P128" s="34" t="str">
        <x:v>随来源测试</x:v>
      </x:c>
    </x:row>
    <x:row r="129" ht="30" customHeight="1">
      <x:c r="A129" s="35" t="str">
        <x:v>P004</x:v>
      </x:c>
      <x:c r="B129" s="35" t="str">
        <x:v>嫩芽</x:v>
      </x:c>
      <x:c r="C129" s="35" t="str">
        <x:v>优秀</x:v>
      </x:c>
      <x:c r="D129" s="37" t="n">
        <x:v>4</x:v>
      </x:c>
      <x:c r="E129" s="35" t="str">
        <x:v>变形：幼苗原地永久变形</x:v>
      </x:c>
      <x:c r="F129" s="39" t="str">
        <x:v>否</x:v>
      </x:c>
      <x:c r="G129" s="39" t="str">
        <x:v>永久</x:v>
      </x:c>
      <x:c r="H129" s="35" t="str">
        <x:v>结算加分</x:v>
      </x:c>
      <x:c r="I129" s="35" t="str">
        <x:v>结算时接触其他植物，自己本回合+2。</x:v>
      </x:c>
      <x:c r="J129" s="35" t="str">
        <x:v>每回合1次</x:v>
      </x:c>
      <x:c r="K129" s="35" t="str">
        <x:v>种植</x:v>
      </x:c>
      <x:c r="L129" s="35" t="str">
        <x:v>植物、成长</x:v>
      </x:c>
      <x:c r="M129" s="35" t="str">
        <x:v>小三角形</x:v>
      </x:c>
      <x:c r="N129" s="35" t="str">
        <x:v>三角形</x:v>
      </x:c>
      <x:c r="O129" s="35" t="str">
        <x:v>Seedling（触发器!D24）</x:v>
      </x:c>
      <x:c r="P129" s="35" t="str">
        <x:v>随来源测试</x:v>
      </x:c>
    </x:row>
    <x:row r="130" ht="30" customHeight="1">
      <x:c r="A130" s="34" t="str">
        <x:v>P005</x:v>
      </x:c>
      <x:c r="B130" s="34" t="str">
        <x:v>葡萄</x:v>
      </x:c>
      <x:c r="C130" s="34" t="str">
        <x:v>普通</x:v>
      </x:c>
      <x:c r="D130" s="36" t="n">
        <x:v>2</x:v>
      </x:c>
      <x:c r="E130" s="34" t="str">
        <x:v>生成：葡萄藤；黄玉可追加生成</x:v>
      </x:c>
      <x:c r="F130" s="38" t="str">
        <x:v>否</x:v>
      </x:c>
      <x:c r="G130" s="38" t="str">
        <x:v>永久</x:v>
      </x:c>
      <x:c r="H130" s="34" t="str">
        <x:v>—</x:v>
      </x:c>
      <x:c r="I130" s="34" t="str">
        <x:v>无额外能力。</x:v>
      </x:c>
      <x:c r="J130" s="34" t="str">
        <x:v>—</x:v>
      </x:c>
      <x:c r="K130" s="34" t="str">
        <x:v>种植</x:v>
      </x:c>
      <x:c r="L130" s="34" t="str">
        <x:v>植物、食物、食材、商品</x:v>
      </x:c>
      <x:c r="M130" s="34" t="str">
        <x:v>圆形</x:v>
      </x:c>
      <x:c r="N130" s="34" t="str">
        <x:v>圆形</x:v>
      </x:c>
      <x:c r="O130" s="34" t="str">
        <x:v>Grape Vine（触发器!D44）</x:v>
      </x:c>
      <x:c r="P130" s="34" t="str">
        <x:v>随来源测试</x:v>
      </x:c>
    </x:row>
    <x:row r="131" ht="30" customHeight="1">
      <x:c r="A131" s="35" t="str">
        <x:v>P006</x:v>
      </x:c>
      <x:c r="B131" s="35" t="str">
        <x:v>苹果</x:v>
      </x:c>
      <x:c r="C131" s="35" t="str">
        <x:v>普通</x:v>
      </x:c>
      <x:c r="D131" s="37" t="n">
        <x:v>3</x:v>
      </x:c>
      <x:c r="E131" s="35" t="str">
        <x:v>生成：果树；黄玉可追加生成</x:v>
      </x:c>
      <x:c r="F131" s="39" t="str">
        <x:v>否</x:v>
      </x:c>
      <x:c r="G131" s="39" t="str">
        <x:v>永久</x:v>
      </x:c>
      <x:c r="H131" s="35" t="str">
        <x:v>—</x:v>
      </x:c>
      <x:c r="I131" s="35" t="str">
        <x:v>无额外能力。</x:v>
      </x:c>
      <x:c r="J131" s="35" t="str">
        <x:v>—</x:v>
      </x:c>
      <x:c r="K131" s="35" t="str">
        <x:v>种植</x:v>
      </x:c>
      <x:c r="L131" s="35" t="str">
        <x:v>植物、食物、食材、商品</x:v>
      </x:c>
      <x:c r="M131" s="35" t="str">
        <x:v>圆形</x:v>
      </x:c>
      <x:c r="N131" s="35" t="str">
        <x:v>圆形</x:v>
      </x:c>
      <x:c r="O131" s="35" t="str">
        <x:v>Tree（触发器!D28）</x:v>
      </x:c>
      <x:c r="P131" s="35" t="str">
        <x:v>随来源测试</x:v>
      </x:c>
    </x:row>
    <x:row r="132" ht="30" customHeight="1">
      <x:c r="A132" s="34" t="str">
        <x:v>P007</x:v>
      </x:c>
      <x:c r="B132" s="34" t="str">
        <x:v>蜂蜜</x:v>
      </x:c>
      <x:c r="C132" s="34" t="str">
        <x:v>优秀</x:v>
      </x:c>
      <x:c r="D132" s="36" t="n">
        <x:v>5</x:v>
      </x:c>
      <x:c r="E132" s="34" t="str">
        <x:v>生成：蜜蜂；黄玉可追加生成</x:v>
      </x:c>
      <x:c r="F132" s="38" t="str">
        <x:v>否</x:v>
      </x:c>
      <x:c r="G132" s="38" t="str">
        <x:v>永久</x:v>
      </x:c>
      <x:c r="H132" s="34" t="str">
        <x:v>—</x:v>
      </x:c>
      <x:c r="I132" s="34" t="str">
        <x:v>无额外能力。</x:v>
      </x:c>
      <x:c r="J132" s="34" t="str">
        <x:v>—</x:v>
      </x:c>
      <x:c r="K132" s="34" t="str">
        <x:v>种植</x:v>
      </x:c>
      <x:c r="L132" s="34" t="str">
        <x:v>食物、食材、商品</x:v>
      </x:c>
      <x:c r="M132" s="34" t="str">
        <x:v>水滴形</x:v>
      </x:c>
      <x:c r="N132" s="34" t="str">
        <x:v>不规则形</x:v>
      </x:c>
      <x:c r="O132" s="34" t="str">
        <x:v>原创</x:v>
      </x:c>
      <x:c r="P132" s="34" t="str">
        <x:v>随来源测试</x:v>
      </x:c>
    </x:row>
    <x:row r="133" ht="30" customHeight="1">
      <x:c r="A133" s="35" t="str">
        <x:v>P008</x:v>
      </x:c>
      <x:c r="B133" s="35" t="str">
        <x:v>蛋</x:v>
      </x:c>
      <x:c r="C133" s="35" t="str">
        <x:v>普通</x:v>
      </x:c>
      <x:c r="D133" s="37" t="n">
        <x:v>2</x:v>
      </x:c>
      <x:c r="E133" s="35" t="str">
        <x:v>生成：鸟巢、母鸡；黄玉可追加生成</x:v>
      </x:c>
      <x:c r="F133" s="39" t="str">
        <x:v>否</x:v>
      </x:c>
      <x:c r="G133" s="39" t="str">
        <x:v>永久</x:v>
      </x:c>
      <x:c r="H133" s="35" t="str">
        <x:v>—</x:v>
      </x:c>
      <x:c r="I133" s="35" t="str">
        <x:v>无额外能力。</x:v>
      </x:c>
      <x:c r="J133" s="35" t="str">
        <x:v>—</x:v>
      </x:c>
      <x:c r="K133" s="35" t="str">
        <x:v>牧场</x:v>
      </x:c>
      <x:c r="L133" s="35" t="str">
        <x:v>牧场、食物、食材、商品</x:v>
      </x:c>
      <x:c r="M133" s="35" t="str">
        <x:v>椭圆形</x:v>
      </x:c>
      <x:c r="N133" s="35" t="str">
        <x:v>不规则形</x:v>
      </x:c>
      <x:c r="O133" s="35" t="str">
        <x:v>Nest（触发器!D20）；Chicken（触发器!D71）</x:v>
      </x:c>
      <x:c r="P133" s="35" t="str">
        <x:v>随来源测试</x:v>
      </x:c>
    </x:row>
    <x:row r="134" ht="30" customHeight="1">
      <x:c r="A134" s="34" t="str">
        <x:v>P009</x:v>
      </x:c>
      <x:c r="B134" s="34" t="str">
        <x:v>牛奶</x:v>
      </x:c>
      <x:c r="C134" s="34" t="str">
        <x:v>优秀</x:v>
      </x:c>
      <x:c r="D134" s="36" t="n">
        <x:v>5</x:v>
      </x:c>
      <x:c r="E134" s="34" t="str">
        <x:v>生成：奶牛；黄玉可追加生成</x:v>
      </x:c>
      <x:c r="F134" s="38" t="str">
        <x:v>否</x:v>
      </x:c>
      <x:c r="G134" s="38" t="str">
        <x:v>永久</x:v>
      </x:c>
      <x:c r="H134" s="34" t="str">
        <x:v>—</x:v>
      </x:c>
      <x:c r="I134" s="34" t="str">
        <x:v>无额外能力。</x:v>
      </x:c>
      <x:c r="J134" s="34" t="str">
        <x:v>—</x:v>
      </x:c>
      <x:c r="K134" s="34" t="str">
        <x:v>牧场</x:v>
      </x:c>
      <x:c r="L134" s="34" t="str">
        <x:v>食物、食材、商品</x:v>
      </x:c>
      <x:c r="M134" s="34" t="str">
        <x:v>胶囊形</x:v>
      </x:c>
      <x:c r="N134" s="34" t="str">
        <x:v>长条形</x:v>
      </x:c>
      <x:c r="O134" s="34" t="str">
        <x:v>原创</x:v>
      </x:c>
      <x:c r="P134" s="34" t="str">
        <x:v>随来源测试</x:v>
      </x:c>
    </x:row>
    <x:row r="135" ht="30" customHeight="1">
      <x:c r="A135" s="35" t="str">
        <x:v>P010</x:v>
      </x:c>
      <x:c r="B135" s="35" t="str">
        <x:v>羊毛</x:v>
      </x:c>
      <x:c r="C135" s="35" t="str">
        <x:v>优秀</x:v>
      </x:c>
      <x:c r="D135" s="37" t="n">
        <x:v>4</x:v>
      </x:c>
      <x:c r="E135" s="35" t="str">
        <x:v>生成：绵羊；黄玉可追加生成</x:v>
      </x:c>
      <x:c r="F135" s="39" t="str">
        <x:v>否</x:v>
      </x:c>
      <x:c r="G135" s="39" t="str">
        <x:v>永久</x:v>
      </x:c>
      <x:c r="H135" s="35" t="str">
        <x:v>—</x:v>
      </x:c>
      <x:c r="I135" s="35" t="str">
        <x:v>无额外能力。</x:v>
      </x:c>
      <x:c r="J135" s="35" t="str">
        <x:v>—</x:v>
      </x:c>
      <x:c r="K135" s="35" t="str">
        <x:v>牧场</x:v>
      </x:c>
      <x:c r="L135" s="35" t="str">
        <x:v>牧场、消耗材料、商品</x:v>
      </x:c>
      <x:c r="M135" s="35" t="str">
        <x:v>云朵形</x:v>
      </x:c>
      <x:c r="N135" s="35" t="str">
        <x:v>不规则形</x:v>
      </x:c>
      <x:c r="O135" s="35" t="str">
        <x:v>原创</x:v>
      </x:c>
      <x:c r="P135" s="35" t="str">
        <x:v>随来源测试</x:v>
      </x:c>
    </x:row>
    <x:row r="136" ht="30" customHeight="1">
      <x:c r="A136" s="34" t="str">
        <x:v>P011</x:v>
      </x:c>
      <x:c r="B136" s="34" t="str">
        <x:v>雏鸟</x:v>
      </x:c>
      <x:c r="C136" s="34" t="str">
        <x:v>优秀</x:v>
      </x:c>
      <x:c r="D136" s="36" t="n">
        <x:v>6</x:v>
      </x:c>
      <x:c r="E136" s="34" t="str">
        <x:v>生成：孵化器</x:v>
      </x:c>
      <x:c r="F136" s="38" t="str">
        <x:v>否</x:v>
      </x:c>
      <x:c r="G136" s="38" t="str">
        <x:v>永久</x:v>
      </x:c>
      <x:c r="H136" s="34" t="str">
        <x:v>—</x:v>
      </x:c>
      <x:c r="I136" s="34" t="str">
        <x:v>无额外能力。</x:v>
      </x:c>
      <x:c r="J136" s="34" t="str">
        <x:v>—</x:v>
      </x:c>
      <x:c r="K136" s="34" t="str">
        <x:v>牧场</x:v>
      </x:c>
      <x:c r="L136" s="34" t="str">
        <x:v>动物</x:v>
      </x:c>
      <x:c r="M136" s="34" t="str">
        <x:v>水滴形</x:v>
      </x:c>
      <x:c r="N136" s="34" t="str">
        <x:v>不规则形</x:v>
      </x:c>
      <x:c r="O136" s="34" t="str">
        <x:v>Chicken（触发器!D71）</x:v>
      </x:c>
      <x:c r="P136" s="34" t="str">
        <x:v>随来源测试</x:v>
      </x:c>
    </x:row>
    <x:row r="137" ht="30" customHeight="1">
      <x:c r="A137" s="35" t="str">
        <x:v>P012</x:v>
      </x:c>
      <x:c r="B137" s="35" t="str">
        <x:v>彩翼蝶</x:v>
      </x:c>
      <x:c r="C137" s="35" t="str">
        <x:v>稀有</x:v>
      </x:c>
      <x:c r="D137" s="37" t="n">
        <x:v>5</x:v>
      </x:c>
      <x:c r="E137" s="35" t="str">
        <x:v>变形：毛虫原地永久变形</x:v>
      </x:c>
      <x:c r="F137" s="39" t="str">
        <x:v>否</x:v>
      </x:c>
      <x:c r="G137" s="39" t="str">
        <x:v>永久</x:v>
      </x:c>
      <x:c r="H137" s="35" t="str">
        <x:v>接触</x:v>
      </x:c>
      <x:c r="I137" s="35" t="str">
        <x:v>接触植物时，使其本回合+3；每目标1次，每回合最多3件。</x:v>
      </x:c>
      <x:c r="J137" s="35" t="str">
        <x:v>每目标1次；每回合最多3件</x:v>
      </x:c>
      <x:c r="K137" s="35" t="str">
        <x:v>牧场</x:v>
      </x:c>
      <x:c r="L137" s="35" t="str">
        <x:v>动物、植物辅助</x:v>
      </x:c>
      <x:c r="M137" s="35" t="str">
        <x:v>蝴蝶形</x:v>
      </x:c>
      <x:c r="N137" s="35" t="str">
        <x:v>不规则形</x:v>
      </x:c>
      <x:c r="O137" s="35" t="str">
        <x:v>Butterfly（触发器!D105）</x:v>
      </x:c>
      <x:c r="P137" s="35" t="str">
        <x:v>随来源测试</x:v>
      </x:c>
    </x:row>
    <x:row r="138" ht="30" customHeight="1">
      <x:c r="A138" s="34" t="str">
        <x:v>P013</x:v>
      </x:c>
      <x:c r="B138" s="34" t="str">
        <x:v>小石子</x:v>
      </x:c>
      <x:c r="C138" s="34" t="str">
        <x:v>普通</x:v>
      </x:c>
      <x:c r="D138" s="36" t="n">
        <x:v>1</x:v>
      </x:c>
      <x:c r="E138" s="34" t="str">
        <x:v>生成：采石袋、矿工镐</x:v>
      </x:c>
      <x:c r="F138" s="38" t="str">
        <x:v>否</x:v>
      </x:c>
      <x:c r="G138" s="38" t="str">
        <x:v>永久</x:v>
      </x:c>
      <x:c r="H138" s="34" t="str">
        <x:v>—</x:v>
      </x:c>
      <x:c r="I138" s="34" t="str">
        <x:v>无额外能力。</x:v>
      </x:c>
      <x:c r="J138" s="34" t="str">
        <x:v>—</x:v>
      </x:c>
      <x:c r="K138" s="34" t="str">
        <x:v>矿业</x:v>
      </x:c>
      <x:c r="L138" s="34" t="str">
        <x:v>矿石</x:v>
      </x:c>
      <x:c r="M138" s="34" t="str">
        <x:v>多边形</x:v>
      </x:c>
      <x:c r="N138" s="34" t="str">
        <x:v>不规则形</x:v>
      </x:c>
      <x:c r="O138" s="34" t="str">
        <x:v>Cairn（触发器!D34）</x:v>
      </x:c>
      <x:c r="P138" s="34" t="str">
        <x:v>随来源测试</x:v>
      </x:c>
    </x:row>
    <x:row r="139" ht="30" customHeight="1">
      <x:c r="A139" s="35" t="str">
        <x:v>P014</x:v>
      </x:c>
      <x:c r="B139" s="35" t="str">
        <x:v>晶屑</x:v>
      </x:c>
      <x:c r="C139" s="35" t="str">
        <x:v>优秀</x:v>
      </x:c>
      <x:c r="D139" s="37" t="n">
        <x:v>4</x:v>
      </x:c>
      <x:c r="E139" s="35" t="str">
        <x:v>生成：碎石机、宝石原胚、宝箱；黄玉可追加生成</x:v>
      </x:c>
      <x:c r="F139" s="39" t="str">
        <x:v>否</x:v>
      </x:c>
      <x:c r="G139" s="39" t="str">
        <x:v>永久</x:v>
      </x:c>
      <x:c r="H139" s="35" t="str">
        <x:v>生成时</x:v>
      </x:c>
      <x:c r="I139" s="35" t="str">
        <x:v>无额外能力；宝石原胚生成的晶屑基础分为8。</x:v>
      </x:c>
      <x:c r="J139" s="35" t="str">
        <x:v>—</x:v>
      </x:c>
      <x:c r="K139" s="35" t="str">
        <x:v>矿业</x:v>
      </x:c>
      <x:c r="L139" s="35" t="str">
        <x:v>宝石、商品</x:v>
      </x:c>
      <x:c r="M139" s="35" t="str">
        <x:v>菱形</x:v>
      </x:c>
      <x:c r="N139" s="35" t="str">
        <x:v>不规则形</x:v>
      </x:c>
      <x:c r="O139" s="35" t="str">
        <x:v>Gem Mine（触发器!D79）</x:v>
      </x:c>
      <x:c r="P139" s="35" t="str">
        <x:v>随来源测试</x:v>
      </x:c>
    </x:row>
    <x:row r="140" ht="30" customHeight="1">
      <x:c r="A140" s="34" t="str">
        <x:v>P015</x:v>
      </x:c>
      <x:c r="B140" s="34" t="str">
        <x:v>金砂</x:v>
      </x:c>
      <x:c r="C140" s="34" t="str">
        <x:v>优秀</x:v>
      </x:c>
      <x:c r="D140" s="36" t="n">
        <x:v>4</x:v>
      </x:c>
      <x:c r="E140" s="34" t="str">
        <x:v>生成：碎石机；黄玉可追加生成</x:v>
      </x:c>
      <x:c r="F140" s="38" t="str">
        <x:v>否</x:v>
      </x:c>
      <x:c r="G140" s="38" t="str">
        <x:v>永久</x:v>
      </x:c>
      <x:c r="H140" s="34" t="str">
        <x:v>—</x:v>
      </x:c>
      <x:c r="I140" s="34" t="str">
        <x:v>无额外能力。</x:v>
      </x:c>
      <x:c r="J140" s="34" t="str">
        <x:v>—</x:v>
      </x:c>
      <x:c r="K140" s="34" t="str">
        <x:v>矿业</x:v>
      </x:c>
      <x:c r="L140" s="34" t="str">
        <x:v>矿石、金属、货币、商品</x:v>
      </x:c>
      <x:c r="M140" s="34" t="str">
        <x:v>小圆形</x:v>
      </x:c>
      <x:c r="N140" s="34" t="str">
        <x:v>圆形</x:v>
      </x:c>
      <x:c r="O140" s="34" t="str">
        <x:v>Rock Crusher（触发器!D92）</x:v>
      </x:c>
      <x:c r="P140" s="34" t="str">
        <x:v>随来源测试</x:v>
      </x:c>
    </x:row>
    <x:row r="141" ht="30" customHeight="1">
      <x:c r="A141" s="35" t="str">
        <x:v>P016</x:v>
      </x:c>
      <x:c r="B141" s="35" t="str">
        <x:v>金属锭</x:v>
      </x:c>
      <x:c r="C141" s="35" t="str">
        <x:v>稀有</x:v>
      </x:c>
      <x:c r="D141" s="37" t="n">
        <x:v>10</x:v>
      </x:c>
      <x:c r="E141" s="35" t="str">
        <x:v>生成：熔炉；黄玉可追加生成</x:v>
      </x:c>
      <x:c r="F141" s="39" t="str">
        <x:v>否</x:v>
      </x:c>
      <x:c r="G141" s="39" t="str">
        <x:v>永久</x:v>
      </x:c>
      <x:c r="H141" s="35" t="str">
        <x:v>—</x:v>
      </x:c>
      <x:c r="I141" s="35" t="str">
        <x:v>无额外能力。</x:v>
      </x:c>
      <x:c r="J141" s="35" t="str">
        <x:v>—</x:v>
      </x:c>
      <x:c r="K141" s="35" t="str">
        <x:v>矿业</x:v>
      </x:c>
      <x:c r="L141" s="35" t="str">
        <x:v>金属、商品</x:v>
      </x:c>
      <x:c r="M141" s="35" t="str">
        <x:v>梯形</x:v>
      </x:c>
      <x:c r="N141" s="35" t="str">
        <x:v>不规则形</x:v>
      </x:c>
      <x:c r="O141" s="35" t="str">
        <x:v>Kiln（触发器!D83）</x:v>
      </x:c>
      <x:c r="P141" s="35" t="str">
        <x:v>随来源测试</x:v>
      </x:c>
    </x:row>
    <x:row r="142" ht="30" customHeight="1">
      <x:c r="A142" s="34" t="str">
        <x:v>P017</x:v>
      </x:c>
      <x:c r="B142" s="34" t="str">
        <x:v>火星</x:v>
      </x:c>
      <x:c r="C142" s="34" t="str">
        <x:v>普通</x:v>
      </x:c>
      <x:c r="D142" s="36" t="n">
        <x:v>1</x:v>
      </x:c>
      <x:c r="E142" s="34" t="str">
        <x:v>临时生成：换热器、小火山</x:v>
      </x:c>
      <x:c r="F142" s="38" t="str">
        <x:v>否</x:v>
      </x:c>
      <x:c r="G142" s="38" t="str">
        <x:v>临时</x:v>
      </x:c>
      <x:c r="H142" s="34" t="str">
        <x:v>—</x:v>
      </x:c>
      <x:c r="I142" s="34" t="str">
        <x:v>无额外能力；可为工具点火或满足火元素接触条件。</x:v>
      </x:c>
      <x:c r="J142" s="34" t="str">
        <x:v>—</x:v>
      </x:c>
      <x:c r="K142" s="34" t="str">
        <x:v>元素</x:v>
      </x:c>
      <x:c r="L142" s="34" t="str">
        <x:v>火元素</x:v>
      </x:c>
      <x:c r="M142" s="34" t="str">
        <x:v>小三角形</x:v>
      </x:c>
      <x:c r="N142" s="34" t="str">
        <x:v>三角形</x:v>
      </x:c>
      <x:c r="O142" s="34" t="str">
        <x:v>Spell of Ignition（触发器!D124）</x:v>
      </x:c>
      <x:c r="P142" s="34" t="str">
        <x:v>随来源测试</x:v>
      </x:c>
    </x:row>
    <x:row r="143" ht="30" customHeight="1">
      <x:c r="A143" s="35" t="str">
        <x:v>P018</x:v>
      </x:c>
      <x:c r="B143" s="35" t="str">
        <x:v>礼花</x:v>
      </x:c>
      <x:c r="C143" s="35" t="str">
        <x:v>优秀</x:v>
      </x:c>
      <x:c r="D143" s="37" t="n">
        <x:v>4</x:v>
      </x:c>
      <x:c r="E143" s="35" t="str">
        <x:v>临时生成：鞭炮</x:v>
      </x:c>
      <x:c r="F143" s="39" t="str">
        <x:v>否</x:v>
      </x:c>
      <x:c r="G143" s="39" t="str">
        <x:v>临时</x:v>
      </x:c>
      <x:c r="H143" s="35" t="str">
        <x:v>—</x:v>
      </x:c>
      <x:c r="I143" s="35" t="str">
        <x:v>无额外能力。</x:v>
      </x:c>
      <x:c r="J143" s="35" t="str">
        <x:v>—</x:v>
      </x:c>
      <x:c r="K143" s="35" t="str">
        <x:v>元素</x:v>
      </x:c>
      <x:c r="L143" s="35" t="str">
        <x:v>火元素</x:v>
      </x:c>
      <x:c r="M143" s="35" t="str">
        <x:v>星形</x:v>
      </x:c>
      <x:c r="N143" s="35" t="str">
        <x:v>不规则形</x:v>
      </x:c>
      <x:c r="O143" s="35" t="str">
        <x:v>Firecracker（触发器!D42）</x:v>
      </x:c>
      <x:c r="P143" s="35" t="str">
        <x:v>随来源测试</x:v>
      </x:c>
    </x:row>
    <x:row r="144" ht="30" customHeight="1">
      <x:c r="A144" s="34" t="str">
        <x:v>P019</x:v>
      </x:c>
      <x:c r="B144" s="34" t="str">
        <x:v>蒸汽</x:v>
      </x:c>
      <x:c r="C144" s="34" t="str">
        <x:v>稀有</x:v>
      </x:c>
      <x:c r="D144" s="36" t="n">
        <x:v>8</x:v>
      </x:c>
      <x:c r="E144" s="34" t="str">
        <x:v>临时生成：蒸汽锅炉</x:v>
      </x:c>
      <x:c r="F144" s="38" t="str">
        <x:v>否</x:v>
      </x:c>
      <x:c r="G144" s="38" t="str">
        <x:v>临时</x:v>
      </x:c>
      <x:c r="H144" s="34" t="str">
        <x:v>常驻属性</x:v>
      </x:c>
      <x:c r="I144" s="34" t="str">
        <x:v>同时属于水元素与火元素；但不是水珠，锅炉不能处理。</x:v>
      </x:c>
      <x:c r="J144" s="34" t="str">
        <x:v>—</x:v>
      </x:c>
      <x:c r="K144" s="34" t="str">
        <x:v>元素</x:v>
      </x:c>
      <x:c r="L144" s="34" t="str">
        <x:v>水元素、火元素</x:v>
      </x:c>
      <x:c r="M144" s="34" t="str">
        <x:v>云朵形</x:v>
      </x:c>
      <x:c r="N144" s="34" t="str">
        <x:v>不规则形</x:v>
      </x:c>
      <x:c r="O144" s="34" t="str">
        <x:v>Radiator（触发器!D23）</x:v>
      </x:c>
      <x:c r="P144" s="34" t="str">
        <x:v>随来源测试</x:v>
      </x:c>
    </x:row>
    <x:row r="145" ht="30" customHeight="1">
      <x:c r="A145" s="35" t="str">
        <x:v>P020</x:v>
      </x:c>
      <x:c r="B145" s="35" t="str">
        <x:v>零钱</x:v>
      </x:c>
      <x:c r="C145" s="35" t="str">
        <x:v>普通</x:v>
      </x:c>
      <x:c r="D145" s="37" t="n">
        <x:v>2</x:v>
      </x:c>
      <x:c r="E145" s="35" t="str">
        <x:v>生成：守门巨像、礼帽；黄玉可追加生成</x:v>
      </x:c>
      <x:c r="F145" s="39" t="str">
        <x:v>否</x:v>
      </x:c>
      <x:c r="G145" s="39" t="str">
        <x:v>永久</x:v>
      </x:c>
      <x:c r="H145" s="35" t="str">
        <x:v>—</x:v>
      </x:c>
      <x:c r="I145" s="35" t="str">
        <x:v>无额外能力。</x:v>
      </x:c>
      <x:c r="J145" s="35" t="str">
        <x:v>—</x:v>
      </x:c>
      <x:c r="K145" s="35" t="str">
        <x:v>集市</x:v>
      </x:c>
      <x:c r="L145" s="35" t="str">
        <x:v>货币、金属、商品</x:v>
      </x:c>
      <x:c r="M145" s="35" t="str">
        <x:v>小圆形</x:v>
      </x:c>
      <x:c r="N145" s="35" t="str">
        <x:v>圆形</x:v>
      </x:c>
      <x:c r="O145" s="35" t="str">
        <x:v>Credit Card（触发器!D14）；Tophat（触发器!D99）</x:v>
      </x:c>
      <x:c r="P145" s="35" t="str">
        <x:v>随来源测试</x:v>
      </x:c>
    </x:row>
    <x:row r="146" ht="30" customHeight="1">
      <x:c r="A146" s="34" t="str">
        <x:v>P021</x:v>
      </x:c>
      <x:c r="B146" s="34" t="str">
        <x:v>纸影</x:v>
      </x:c>
      <x:c r="C146" s="34" t="str">
        <x:v>优秀</x:v>
      </x:c>
      <x:c r="D146" s="36" t="n">
        <x:v>0</x:v>
      </x:c>
      <x:c r="E146" s="34" t="str">
        <x:v>临时生成：复印机</x:v>
      </x:c>
      <x:c r="F146" s="38" t="str">
        <x:v>否</x:v>
      </x:c>
      <x:c r="G146" s="38" t="str">
        <x:v>临时</x:v>
      </x:c>
      <x:c r="H146" s="34" t="str">
        <x:v>生成时</x:v>
      </x:c>
      <x:c r="I146" s="34" t="str">
        <x:v>基础分为复印机目标当时的当前值，上限12；不复制能力或其他标签。</x:v>
      </x:c>
      <x:c r="J146" s="34" t="str">
        <x:v>生成基础分上限12</x:v>
      </x:c>
      <x:c r="K146" s="34" t="str">
        <x:v>机械</x:v>
      </x:c>
      <x:c r="L146" s="34" t="str">
        <x:v>消耗材料</x:v>
      </x:c>
      <x:c r="M146" s="34" t="str">
        <x:v>方形</x:v>
      </x:c>
      <x:c r="N146" s="34" t="str">
        <x:v>方形</x:v>
      </x:c>
      <x:c r="O146" s="34" t="str">
        <x:v>Axe（触发器!D68）</x:v>
      </x:c>
      <x:c r="P146" s="34" t="str">
        <x:v>随来源测试</x:v>
      </x:c>
    </x:row>
    <x:row r="147" ht="30" customHeight="1">
      <x:c r="A147" s="35" t="str">
        <x:v>P022</x:v>
      </x:c>
      <x:c r="B147" s="35" t="str">
        <x:v>幽灵</x:v>
      </x:c>
      <x:c r="C147" s="35" t="str">
        <x:v>普通</x:v>
      </x:c>
      <x:c r="D147" s="37" t="n">
        <x:v>2</x:v>
      </x:c>
      <x:c r="E147" s="35" t="str">
        <x:v>生成：灵魂罐、纸人</x:v>
      </x:c>
      <x:c r="F147" s="39" t="str">
        <x:v>否</x:v>
      </x:c>
      <x:c r="G147" s="39" t="str">
        <x:v>永久</x:v>
      </x:c>
      <x:c r="H147" s="35" t="str">
        <x:v>被消耗</x:v>
      </x:c>
      <x:c r="I147" s="35" t="str">
        <x:v>被消耗时额外记分2；同一实例每回合1次，具有普通物理碰撞。</x:v>
      </x:c>
      <x:c r="J147" s="35" t="str">
        <x:v>同一实例每回合1次</x:v>
      </x:c>
      <x:c r="K147" s="35" t="str">
        <x:v>灵魂</x:v>
      </x:c>
      <x:c r="L147" s="35" t="str">
        <x:v>灵魂</x:v>
      </x:c>
      <x:c r="M147" s="35" t="str">
        <x:v>圆头水滴形</x:v>
      </x:c>
      <x:c r="N147" s="35" t="str">
        <x:v>不规则形</x:v>
      </x:c>
      <x:c r="O147" s="35" t="str">
        <x:v>Douter（增益!D9）；Tombstone（增益!D26）</x:v>
      </x:c>
      <x:c r="P147" s="35" t="str">
        <x:v>随来源测试</x:v>
      </x:c>
    </x:row>
    <x:row r="148" ht="30" customHeight="1">
      <x:c r="A148" s="34" t="str">
        <x:v>P023</x:v>
      </x:c>
      <x:c r="B148" s="34" t="str">
        <x:v>魂火</x:v>
      </x:c>
      <x:c r="C148" s="34" t="str">
        <x:v>优秀</x:v>
      </x:c>
      <x:c r="D148" s="36" t="n">
        <x:v>4</x:v>
      </x:c>
      <x:c r="E148" s="34" t="str">
        <x:v>临时生成：焚化炉</x:v>
      </x:c>
      <x:c r="F148" s="38" t="str">
        <x:v>否</x:v>
      </x:c>
      <x:c r="G148" s="38" t="str">
        <x:v>临时</x:v>
      </x:c>
      <x:c r="H148" s="34" t="str">
        <x:v>—</x:v>
      </x:c>
      <x:c r="I148" s="34" t="str">
        <x:v>无额外能力。</x:v>
      </x:c>
      <x:c r="J148" s="34" t="str">
        <x:v>—</x:v>
      </x:c>
      <x:c r="K148" s="34" t="str">
        <x:v>灵魂</x:v>
      </x:c>
      <x:c r="L148" s="34" t="str">
        <x:v>灵魂、火元素</x:v>
      </x:c>
      <x:c r="M148" s="34" t="str">
        <x:v>水滴形</x:v>
      </x:c>
      <x:c r="N148" s="34" t="str">
        <x:v>不规则形</x:v>
      </x:c>
      <x:c r="O148" s="34" t="str">
        <x:v>Douter（增益!D9）</x:v>
      </x:c>
      <x:c r="P148" s="34" t="str">
        <x:v>随来源测试</x:v>
      </x:c>
    </x:row>
    <x:row r="149" ht="30" customHeight="1">
      <x:c r="A149" s="35" t="str">
        <x:v>P024</x:v>
      </x:c>
      <x:c r="B149" s="35" t="str">
        <x:v>宝藏徽记</x:v>
      </x:c>
      <x:c r="C149" s="35" t="str">
        <x:v>稀有</x:v>
      </x:c>
      <x:c r="D149" s="37" t="n">
        <x:v>10</x:v>
      </x:c>
      <x:c r="E149" s="35" t="str">
        <x:v>生成：宝箱；黄玉可追加生成</x:v>
      </x:c>
      <x:c r="F149" s="39" t="str">
        <x:v>否</x:v>
      </x:c>
      <x:c r="G149" s="39" t="str">
        <x:v>永久</x:v>
      </x:c>
      <x:c r="H149" s="35" t="str">
        <x:v>—</x:v>
      </x:c>
      <x:c r="I149" s="35" t="str">
        <x:v>无额外能力。</x:v>
      </x:c>
      <x:c r="J149" s="35" t="str">
        <x:v>—</x:v>
      </x:c>
      <x:c r="K149" s="35" t="str">
        <x:v>探险</x:v>
      </x:c>
      <x:c r="L149" s="35" t="str">
        <x:v>探险、宝石、商品</x:v>
      </x:c>
      <x:c r="M149" s="35" t="str">
        <x:v>六边形</x:v>
      </x:c>
      <x:c r="N149" s="35" t="str">
        <x:v>不规则形</x:v>
      </x:c>
      <x:c r="O149" s="35" t="str">
        <x:v>Treasure Chest（触发器!D61）</x:v>
      </x:c>
      <x:c r="P149" s="35" t="str">
        <x:v>随来源测试</x:v>
      </x:c>
    </x:row>
    <x:row r="150" ht="30" customHeight="1">
      <x:c r="A150" s="34" t="str">
        <x:v>P025</x:v>
      </x:c>
      <x:c r="B150" s="34" t="str">
        <x:v>奖杯</x:v>
      </x:c>
      <x:c r="C150" s="34" t="str">
        <x:v>稀有</x:v>
      </x:c>
      <x:c r="D150" s="36" t="n">
        <x:v>12</x:v>
      </x:c>
      <x:c r="E150" s="34" t="str">
        <x:v>生成：守门巨像；黄玉可追加生成</x:v>
      </x:c>
      <x:c r="F150" s="38" t="str">
        <x:v>否</x:v>
      </x:c>
      <x:c r="G150" s="38" t="str">
        <x:v>永久</x:v>
      </x:c>
      <x:c r="H150" s="34" t="str">
        <x:v>—</x:v>
      </x:c>
      <x:c r="I150" s="34" t="str">
        <x:v>无额外能力。</x:v>
      </x:c>
      <x:c r="J150" s="34" t="str">
        <x:v>—</x:v>
      </x:c>
      <x:c r="K150" s="34" t="str">
        <x:v>探险</x:v>
      </x:c>
      <x:c r="L150" s="34" t="str">
        <x:v>探险、金属、商品</x:v>
      </x:c>
      <x:c r="M150" s="34" t="str">
        <x:v>杯形</x:v>
      </x:c>
      <x:c r="N150" s="34" t="str">
        <x:v>凹槽形</x:v>
      </x:c>
      <x:c r="O150" s="34" t="str">
        <x:v>Cave Troll（触发器!D37）</x:v>
      </x:c>
      <x:c r="P150" s="34" t="str">
        <x:v>随来源测试</x:v>
      </x:c>
    </x:row>
    <x:row r="151" ht="30" customHeight="1">
      <x:c r="A151" s="35" t="str">
        <x:v>P026</x:v>
      </x:c>
      <x:c r="B151" s="35" t="str">
        <x:v>古物奖章</x:v>
      </x:c>
      <x:c r="C151" s="35" t="str">
        <x:v>史诗</x:v>
      </x:c>
      <x:c r="D151" s="37" t="n">
        <x:v>10</x:v>
      </x:c>
      <x:c r="E151" s="35" t="str">
        <x:v>变形：时光胶囊原地永久变形；黄玉可追加生成</x:v>
      </x:c>
      <x:c r="F151" s="39" t="str">
        <x:v>否</x:v>
      </x:c>
      <x:c r="G151" s="39" t="str">
        <x:v>永久</x:v>
      </x:c>
      <x:c r="H151" s="35" t="str">
        <x:v>结算加分</x:v>
      </x:c>
      <x:c r="I151" s="35" t="str">
        <x:v>结算时自己本回合+2；接触成长物品时再+4。</x:v>
      </x:c>
      <x:c r="J151" s="35" t="str">
        <x:v>每回合1次</x:v>
      </x:c>
      <x:c r="K151" s="35" t="str">
        <x:v>结算</x:v>
      </x:c>
      <x:c r="L151" s="35" t="str">
        <x:v>结算、金属、商品</x:v>
      </x:c>
      <x:c r="M151" s="35" t="str">
        <x:v>圆形</x:v>
      </x:c>
      <x:c r="N151" s="35" t="str">
        <x:v>圆形</x:v>
      </x:c>
      <x:c r="O151" s="35" t="str">
        <x:v>Time Capsule（触发器!D98）</x:v>
      </x:c>
      <x:c r="P151" s="35" t="str">
        <x:v>随来源测试</x:v>
      </x:c>
    </x:row>
    <x:row r="152" ht="30" customHeight="1">
      <x:c r="A152" s="34" t="str">
        <x:v>P027</x:v>
      </x:c>
      <x:c r="B152" s="34" t="str">
        <x:v>饼干屑</x:v>
      </x:c>
      <x:c r="C152" s="34" t="str">
        <x:v>普通</x:v>
      </x:c>
      <x:c r="D152" s="36" t="n">
        <x:v>1</x:v>
      </x:c>
      <x:c r="E152" s="34" t="str">
        <x:v>生成：遗物餐后点心；黄玉可追加生成</x:v>
      </x:c>
      <x:c r="F152" s="38" t="str">
        <x:v>否</x:v>
      </x:c>
      <x:c r="G152" s="38" t="str">
        <x:v>永久</x:v>
      </x:c>
      <x:c r="H152" s="34" t="str">
        <x:v>—</x:v>
      </x:c>
      <x:c r="I152" s="34" t="str">
        <x:v>无额外能力。</x:v>
      </x:c>
      <x:c r="J152" s="34" t="str">
        <x:v>—</x:v>
      </x:c>
      <x:c r="K152" s="34" t="str">
        <x:v>烹饪</x:v>
      </x:c>
      <x:c r="L152" s="34" t="str">
        <x:v>食物、食材、商品</x:v>
      </x:c>
      <x:c r="M152" s="34" t="str">
        <x:v>小多边形</x:v>
      </x:c>
      <x:c r="N152" s="34" t="str">
        <x:v>不规则形</x:v>
      </x:c>
      <x:c r="O152" s="34" t="str">
        <x:v>原创</x:v>
      </x:c>
      <x:c r="P152" s="34" t="str">
        <x:v>随来源测试</x:v>
      </x:c>
    </x:row>
    <x:row r="153" ht="30" customHeight="1">
      <x:c r="A153" s="35" t="str">
        <x:v>P028</x:v>
      </x:c>
      <x:c r="B153" s="35" t="str">
        <x:v>花粉</x:v>
      </x:c>
      <x:c r="C153" s="35" t="str">
        <x:v>普通</x:v>
      </x:c>
      <x:c r="D153" s="37" t="n">
        <x:v>2</x:v>
      </x:c>
      <x:c r="E153" s="35" t="str">
        <x:v>临时生成：遗物授粉手册</x:v>
      </x:c>
      <x:c r="F153" s="39" t="str">
        <x:v>否</x:v>
      </x:c>
      <x:c r="G153" s="39" t="str">
        <x:v>临时</x:v>
      </x:c>
      <x:c r="H153" s="35" t="str">
        <x:v>—</x:v>
      </x:c>
      <x:c r="I153" s="35" t="str">
        <x:v>无额外能力。</x:v>
      </x:c>
      <x:c r="J153" s="35" t="str">
        <x:v>—</x:v>
      </x:c>
      <x:c r="K153" s="35" t="str">
        <x:v>种植</x:v>
      </x:c>
      <x:c r="L153" s="35" t="str">
        <x:v>植物</x:v>
      </x:c>
      <x:c r="M153" s="35" t="str">
        <x:v>小圆形</x:v>
      </x:c>
      <x:c r="N153" s="35" t="str">
        <x:v>圆形</x:v>
      </x:c>
      <x:c r="O153" s="35" t="str">
        <x:v>原创</x:v>
      </x:c>
      <x:c r="P153" s="35" t="str">
        <x:v>随来源测试</x:v>
      </x:c>
    </x:row>
    <x:row r="154" ht="30" customHeight="1">
      <x:c r="A154" s="34" t="str">
        <x:v>P029</x:v>
      </x:c>
      <x:c r="B154" s="34" t="str">
        <x:v>双黄蛋</x:v>
      </x:c>
      <x:c r="C154" s="34" t="str">
        <x:v>优秀</x:v>
      </x:c>
      <x:c r="D154" s="36" t="n">
        <x:v>5</x:v>
      </x:c>
      <x:c r="E154" s="34" t="str">
        <x:v>生成替换：遗物双黄蛋谱将普通蛋改为双黄蛋；黄玉可追加生成</x:v>
      </x:c>
      <x:c r="F154" s="38" t="str">
        <x:v>否</x:v>
      </x:c>
      <x:c r="G154" s="38" t="str">
        <x:v>永久</x:v>
      </x:c>
      <x:c r="H154" s="34" t="str">
        <x:v>常驻属性</x:v>
      </x:c>
      <x:c r="I154" s="34" t="str">
        <x:v>在蛋专属条件中视为1颗蛋。</x:v>
      </x:c>
      <x:c r="J154" s="34" t="str">
        <x:v>—</x:v>
      </x:c>
      <x:c r="K154" s="34" t="str">
        <x:v>牧场</x:v>
      </x:c>
      <x:c r="L154" s="34" t="str">
        <x:v>牧场、食物、食材、商品</x:v>
      </x:c>
      <x:c r="M154" s="34" t="str">
        <x:v>宽椭圆</x:v>
      </x:c>
      <x:c r="N154" s="34" t="str">
        <x:v>不规则形</x:v>
      </x:c>
      <x:c r="O154" s="34" t="str">
        <x:v>Chicken（触发器!D71）</x:v>
      </x:c>
      <x:c r="P154" s="34" t="str">
        <x:v>随来源测试</x:v>
      </x:c>
    </x:row>
    <x:row r="155" ht="30" customHeight="1">
      <x:c r="A155" s="35" t="str">
        <x:v>P030</x:v>
      </x:c>
      <x:c r="B155" s="35" t="str">
        <x:v>废料</x:v>
      </x:c>
      <x:c r="C155" s="35" t="str">
        <x:v>普通</x:v>
      </x:c>
      <x:c r="D155" s="37" t="n">
        <x:v>1</x:v>
      </x:c>
      <x:c r="E155" s="35" t="str">
        <x:v>生成：遗物边角料箱；黄玉可追加生成</x:v>
      </x:c>
      <x:c r="F155" s="39" t="str">
        <x:v>否</x:v>
      </x:c>
      <x:c r="G155" s="39" t="str">
        <x:v>永久</x:v>
      </x:c>
      <x:c r="H155" s="35" t="str">
        <x:v>—</x:v>
      </x:c>
      <x:c r="I155" s="35" t="str">
        <x:v>无额外能力。</x:v>
      </x:c>
      <x:c r="J155" s="35" t="str">
        <x:v>—</x:v>
      </x:c>
      <x:c r="K155" s="35" t="str">
        <x:v>矿业</x:v>
      </x:c>
      <x:c r="L155" s="35" t="str">
        <x:v>金属、消耗材料、商品</x:v>
      </x:c>
      <x:c r="M155" s="35" t="str">
        <x:v>多边形</x:v>
      </x:c>
      <x:c r="N155" s="35" t="str">
        <x:v>不规则形</x:v>
      </x:c>
      <x:c r="O155" s="35" t="str">
        <x:v>Smokestack（增益!D25）</x:v>
      </x:c>
      <x:c r="P155" s="35" t="str">
        <x:v>随来源测试</x:v>
      </x:c>
    </x:row>
    <x:row r="156" ht="30" customHeight="1">
      <x:c r="A156" s="34" t="str">
        <x:v>P031</x:v>
      </x:c>
      <x:c r="B156" s="34" t="str">
        <x:v>回声珠</x:v>
      </x:c>
      <x:c r="C156" s="34" t="str">
        <x:v>优秀</x:v>
      </x:c>
      <x:c r="D156" s="36" t="n">
        <x:v>4</x:v>
      </x:c>
      <x:c r="E156" s="34" t="str">
        <x:v>临时生成：遗物共鸣余音</x:v>
      </x:c>
      <x:c r="F156" s="38" t="str">
        <x:v>否</x:v>
      </x:c>
      <x:c r="G156" s="38" t="str">
        <x:v>临时</x:v>
      </x:c>
      <x:c r="H156" s="34" t="str">
        <x:v>—</x:v>
      </x:c>
      <x:c r="I156" s="34" t="str">
        <x:v>无额外能力。</x:v>
      </x:c>
      <x:c r="J156" s="34" t="str">
        <x:v>—</x:v>
      </x:c>
      <x:c r="K156" s="34" t="str">
        <x:v>宝石</x:v>
      </x:c>
      <x:c r="L156" s="34" t="str">
        <x:v>宝石、共鸣</x:v>
      </x:c>
      <x:c r="M156" s="34" t="str">
        <x:v>圆形</x:v>
      </x:c>
      <x:c r="N156" s="34" t="str">
        <x:v>圆形</x:v>
      </x:c>
      <x:c r="O156" s="34" t="str">
        <x:v>Topaz（触发器!D126）</x:v>
      </x:c>
      <x:c r="P156" s="34" t="str">
        <x:v>随来源测试</x:v>
      </x:c>
    </x:row>
    <x:row r="157" ht="30" customHeight="1">
      <x:c r="A157" s="35" t="str">
        <x:v>P032</x:v>
      </x:c>
      <x:c r="B157" s="35" t="str">
        <x:v>纪念票</x:v>
      </x:c>
      <x:c r="C157" s="35" t="str">
        <x:v>优秀</x:v>
      </x:c>
      <x:c r="D157" s="37" t="n">
        <x:v>3</x:v>
      </x:c>
      <x:c r="E157" s="35" t="str">
        <x:v>生成：遗物集邮册；黄玉可追加生成</x:v>
      </x:c>
      <x:c r="F157" s="39" t="str">
        <x:v>否</x:v>
      </x:c>
      <x:c r="G157" s="39" t="str">
        <x:v>永久</x:v>
      </x:c>
      <x:c r="H157" s="35" t="str">
        <x:v>—</x:v>
      </x:c>
      <x:c r="I157" s="35" t="str">
        <x:v>无额外能力，可被印章增值、邮筒消耗。</x:v>
      </x:c>
      <x:c r="J157" s="35" t="str">
        <x:v>—</x:v>
      </x:c>
      <x:c r="K157" s="35" t="str">
        <x:v>连锁</x:v>
      </x:c>
      <x:c r="L157" s="35" t="str">
        <x:v>连锁、消耗材料、商品</x:v>
      </x:c>
      <x:c r="M157" s="35" t="str">
        <x:v>长方形</x:v>
      </x:c>
      <x:c r="N157" s="35" t="str">
        <x:v>长条形</x:v>
      </x:c>
      <x:c r="O157" s="35" t="str">
        <x:v>原创</x:v>
      </x:c>
      <x:c r="P157" s="35" t="str">
        <x:v>随来源测试</x:v>
      </x:c>
    </x:row>
  </x:sheetData>
  <x:conditionalFormatting sqref="C6:C157">
    <x:cfRule type="containsText" dxfId="9" priority="1" operator="containsText" text="优秀"/>
    <x:cfRule type="containsText" dxfId="10" priority="2" operator="containsText" text="稀有"/>
    <x:cfRule type="containsText" dxfId="11" priority="3" operator="containsText" text="史诗"/>
  </x:conditionalFormatting>
  <x:conditionalFormatting sqref="G6:G157">
    <x:cfRule type="containsText" dxfId="12" priority="4" operator="containsText" text="临时"/>
  </x:conditionalFormatting>
  <x:dataValidations count="2">
    <x:dataValidation type="list" sqref="F6:F157">
      <x:formula1>"是,否"</x:formula1>
    </x:dataValidation>
    <x:dataValidation type="list" sqref="G6:G157">
      <x:formula1>"永久,临时"</x:formula1>
    </x:dataValidation>
  </x:dataValidations>
  <x:pageMargins left="0.7" right="0.7" top="0.75" bottom="0.75" header="0.3" footer="0.3"/>
  <x:tableParts count="1">
    <x:tablePart xmlns:r="http://schemas.openxmlformats.org/officeDocument/2006/relationships" r:id="R348de57b64174ce6"/>
  </x:tableParts>
</x:worksheet>
</file>

<file path=xl/worksheets/sheet2.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8" hidden="0" customWidth="1"/>
    <x:col min="2" max="2" width="19" hidden="0" customWidth="1"/>
    <x:col min="3" max="3" width="9" hidden="0" customWidth="1"/>
    <x:col min="4" max="4" width="18" hidden="0" customWidth="1"/>
    <x:col min="5" max="5" width="68" hidden="0" customWidth="1"/>
    <x:col min="6" max="6" width="40" hidden="0" customWidth="1"/>
    <x:col min="7" max="7" width="11" hidden="0" customWidth="1"/>
    <x:col min="8" max="8" width="46" hidden="0" customWidth="1"/>
  </x:cols>
  <x:sheetData>
    <x:row r="1">
      <x:c r="A1" s="3"/>
      <x:c r="B1" s="3"/>
      <x:c r="C1" s="3"/>
      <x:c r="D1" s="3"/>
      <x:c r="E1" s="3"/>
      <x:c r="F1" s="3"/>
      <x:c r="G1" s="3"/>
      <x:c r="H1" s="3"/>
    </x:row>
    <x:row r="2">
      <x:c r="A2" s="6" t="str">
        <x:v>遗物设计 · V2</x:v>
      </x:c>
      <x:c r="B2" s="7"/>
      <x:c r="C2" s="7"/>
      <x:c r="D2" s="7"/>
      <x:c r="E2" s="7"/>
      <x:c r="F2" s="7"/>
      <x:c r="G2" s="7"/>
      <x:c r="H2" s="7"/>
    </x:row>
    <x:row r="3">
      <x:c r="A3" s="8" t="str">
        <x:v>80件遗物｜每5回合三选一；全部按永久牌库增删及直接接触复核。</x:v>
      </x:c>
      <x:c r="B3" s="7"/>
      <x:c r="C3" s="7"/>
      <x:c r="D3" s="7"/>
      <x:c r="E3" s="7"/>
      <x:c r="F3" s="7"/>
      <x:c r="G3" s="7"/>
      <x:c r="H3" s="7"/>
    </x:row>
    <x:row r="4">
      <x:c r="A4" s="9"/>
      <x:c r="B4" s="9"/>
      <x:c r="C4" s="9"/>
      <x:c r="D4" s="9"/>
      <x:c r="E4" s="9"/>
      <x:c r="F4" s="9"/>
      <x:c r="G4" s="9"/>
      <x:c r="H4" s="9"/>
    </x:row>
    <x:row r="5" ht="30" customHeight="1">
      <x:c r="A5" s="12" t="str">
        <x:v>ID</x:v>
      </x:c>
      <x:c r="B5" s="12" t="str">
        <x:v>名称</x:v>
      </x:c>
      <x:c r="C5" s="12" t="str">
        <x:v>品质</x:v>
      </x:c>
      <x:c r="D5" s="12" t="str">
        <x:v>触发时机</x:v>
      </x:c>
      <x:c r="E5" s="12" t="str">
        <x:v>效果</x:v>
      </x:c>
      <x:c r="F5" s="12" t="str">
        <x:v>次数与边界</x:v>
      </x:c>
      <x:c r="G5" s="12" t="str">
        <x:v>主流派</x:v>
      </x:c>
      <x:c r="H5" s="12" t="str">
        <x:v>原表参考</x:v>
      </x:c>
    </x:row>
    <x:row r="6" ht="30" customHeight="1">
      <x:c r="A6" s="13" t="str">
        <x:v>R001</x:v>
      </x:c>
      <x:c r="B6" s="13" t="str">
        <x:v>家常菜谱</x:v>
      </x:c>
      <x:c r="C6" s="13" t="str">
        <x:v>普通</x:v>
      </x:c>
      <x:c r="D6" s="13" t="str">
        <x:v>结算加分</x:v>
      </x:c>
      <x:c r="E6" s="13" t="str">
        <x:v>本回合被烹饪物品增值过的存活食物，各本回合+2。</x:v>
      </x:c>
      <x:c r="F6" s="13" t="str">
        <x:v>每件1次</x:v>
      </x:c>
      <x:c r="G6" s="13" t="str">
        <x:v>烹饪</x:v>
      </x:c>
      <x:c r="H6" s="13" t="str">
        <x:v>Fanny Pack（增益!D13）</x:v>
      </x:c>
    </x:row>
    <x:row r="7" ht="38" customHeight="1">
      <x:c r="A7" s="3" t="str">
        <x:v>R002</x:v>
      </x:c>
      <x:c r="B7" s="3" t="str">
        <x:v>双份调味</x:v>
      </x:c>
      <x:c r="C7" s="3" t="str">
        <x:v>优秀</x:v>
      </x:c>
      <x:c r="D7" s="3" t="str">
        <x:v>增值事件</x:v>
      </x:c>
      <x:c r="E7" s="3" t="str">
        <x:v>烹饪物品对食物的本回合固定数值加分额外+1。</x:v>
      </x:c>
      <x:c r="F7" s="3" t="str">
        <x:v>每目标最多获益3次；只增强原效果，不另触发增值</x:v>
      </x:c>
      <x:c r="G7" s="3" t="str">
        <x:v>烹饪</x:v>
      </x:c>
      <x:c r="H7" s="3" t="str">
        <x:v>Donut（增益!D8）</x:v>
      </x:c>
    </x:row>
    <x:row r="8" ht="30" customHeight="1">
      <x:c r="A8" s="13" t="str">
        <x:v>R003</x:v>
      </x:c>
      <x:c r="B8" s="13" t="str">
        <x:v>餐后点心</x:v>
      </x:c>
      <x:c r="C8" s="13" t="str">
        <x:v>优秀</x:v>
      </x:c>
      <x:c r="D8" s="13" t="str">
        <x:v>消耗事件</x:v>
      </x:c>
      <x:c r="E8" s="13" t="str">
        <x:v>食物被烹饪物品消耗时，生成1份饼干屑。</x:v>
      </x:c>
      <x:c r="F8" s="13" t="str">
        <x:v>每回合最多2份；饼干屑不能触发本遗物</x:v>
      </x:c>
      <x:c r="G8" s="13" t="str">
        <x:v>烹饪</x:v>
      </x:c>
      <x:c r="H8" s="13" t="str">
        <x:v>Douter（增益!D9）</x:v>
      </x:c>
    </x:row>
    <x:row r="9" ht="30" customHeight="1">
      <x:c r="A9" s="3" t="str">
        <x:v>R004</x:v>
      </x:c>
      <x:c r="B9" s="3" t="str">
        <x:v>主厨勋章</x:v>
      </x:c>
      <x:c r="C9" s="3" t="str">
        <x:v>稀有</x:v>
      </x:c>
      <x:c r="D9" s="3" t="str">
        <x:v>结算倍率</x:v>
      </x:c>
      <x:c r="E9" s="3" t="str">
        <x:v>本回合烹饪物品完成至少2次正常生产时，所有存活餐食获得+50%倍率。</x:v>
      </x:c>
      <x:c r="F9" s="3" t="str">
        <x:v>每回合1次</x:v>
      </x:c>
      <x:c r="G9" s="3" t="str">
        <x:v>烹饪</x:v>
      </x:c>
      <x:c r="H9" s="3" t="str">
        <x:v>Ginger（增益!D37）</x:v>
      </x:c>
    </x:row>
    <x:row r="10" ht="30" customHeight="1">
      <x:c r="A10" s="13" t="str">
        <x:v>R005</x:v>
      </x:c>
      <x:c r="B10" s="13" t="str">
        <x:v>百味宴席</x:v>
      </x:c>
      <x:c r="C10" s="13" t="str">
        <x:v>史诗</x:v>
      </x:c>
      <x:c r="D10" s="13" t="str">
        <x:v>结算加分</x:v>
      </x:c>
      <x:c r="E10" s="13" t="str">
        <x:v>本回合生成过至少3种不同食物时，每个存活烹饪物品本回合+8。</x:v>
      </x:c>
      <x:c r="F10" s="13" t="str">
        <x:v>每回合1次</x:v>
      </x:c>
      <x:c r="G10" s="13" t="str">
        <x:v>烹饪</x:v>
      </x:c>
      <x:c r="H10" s="13" t="str">
        <x:v>Plate（触发器!D89）</x:v>
      </x:c>
    </x:row>
    <x:row r="11" ht="30" customHeight="1">
      <x:c r="A11" s="3" t="str">
        <x:v>R006</x:v>
      </x:c>
      <x:c r="B11" s="3" t="str">
        <x:v>园艺手套</x:v>
      </x:c>
      <x:c r="C11" s="3" t="str">
        <x:v>普通</x:v>
      </x:c>
      <x:c r="D11" s="3" t="str">
        <x:v>增值事件</x:v>
      </x:c>
      <x:c r="E11" s="3" t="str">
        <x:v>植物通过接触或消耗水元素使自身本回合增值时，该植物额外+1。</x:v>
      </x:c>
      <x:c r="F11" s="3" t="str">
        <x:v>每植物最多3次；变形不触发</x:v>
      </x:c>
      <x:c r="G11" s="3" t="str">
        <x:v>种植</x:v>
      </x:c>
      <x:c r="H11" s="3" t="str">
        <x:v>Pumpkin（触发器!D22）</x:v>
      </x:c>
    </x:row>
    <x:row r="12" ht="30" customHeight="1">
      <x:c r="A12" s="13" t="str">
        <x:v>R007</x:v>
      </x:c>
      <x:c r="B12" s="13" t="str">
        <x:v>授粉手册</x:v>
      </x:c>
      <x:c r="C12" s="13" t="str">
        <x:v>优秀</x:v>
      </x:c>
      <x:c r="D12" s="13" t="str">
        <x:v>增值事件</x:v>
      </x:c>
      <x:c r="E12" s="13" t="str">
        <x:v>蜜蜂或彩翼蝶成功增值植物时，临时生成1份花粉。</x:v>
      </x:c>
      <x:c r="F12" s="13" t="str">
        <x:v>每回合最多3份；每植物1份</x:v>
      </x:c>
      <x:c r="G12" s="13" t="str">
        <x:v>种植</x:v>
      </x:c>
      <x:c r="H12" s="13" t="str">
        <x:v>原创</x:v>
      </x:c>
    </x:row>
    <x:row r="13" ht="30" customHeight="1">
      <x:c r="A13" s="3" t="str">
        <x:v>R008</x:v>
      </x:c>
      <x:c r="B13" s="3" t="str">
        <x:v>雨水桶</x:v>
      </x:c>
      <x:c r="C13" s="3" t="str">
        <x:v>优秀</x:v>
      </x:c>
      <x:c r="D13" s="3" t="str">
        <x:v>生产事件</x:v>
      </x:c>
      <x:c r="E13" s="3" t="str">
        <x:v>本回合第一次正常生成水珠时，额外生成1颗水珠。</x:v>
      </x:c>
      <x:c r="F13" s="3" t="str">
        <x:v>每回合1颗；额外生成不触发追加生产</x:v>
      </x:c>
      <x:c r="G13" s="3" t="str">
        <x:v>种植</x:v>
      </x:c>
      <x:c r="H13" s="3" t="str">
        <x:v>Waterfall（增益!D55）</x:v>
      </x:c>
    </x:row>
    <x:row r="14" ht="30" customHeight="1">
      <x:c r="A14" s="13" t="str">
        <x:v>R009</x:v>
      </x:c>
      <x:c r="B14" s="13" t="str">
        <x:v>连根相生</x:v>
      </x:c>
      <x:c r="C14" s="13" t="str">
        <x:v>稀有</x:v>
      </x:c>
      <x:c r="D14" s="13" t="str">
        <x:v>结算加分</x:v>
      </x:c>
      <x:c r="E14" s="13" t="str">
        <x:v>植物接触组含至少4件时，该组植物各本回合+4。</x:v>
      </x:c>
      <x:c r="F14" s="13" t="str">
        <x:v>每件1次</x:v>
      </x:c>
      <x:c r="G14" s="13" t="str">
        <x:v>种植</x:v>
      </x:c>
      <x:c r="H14" s="13" t="str">
        <x:v>Clover（触发器!D40）</x:v>
      </x:c>
    </x:row>
    <x:row r="15" ht="30" customHeight="1">
      <x:c r="A15" s="3" t="str">
        <x:v>R010</x:v>
      </x:c>
      <x:c r="B15" s="3" t="str">
        <x:v>丰收日历</x:v>
      </x:c>
      <x:c r="C15" s="3" t="str">
        <x:v>史诗</x:v>
      </x:c>
      <x:c r="D15" s="3" t="str">
        <x:v>结算末</x:v>
      </x:c>
      <x:c r="E15" s="3" t="str">
        <x:v>场上至少有3种不同植物时，其中基础分最低的1件成长植物永久基础分+1。</x:v>
      </x:c>
      <x:c r="F15" s="3" t="str">
        <x:v>每回合1件；每实例来自本遗物累计+5封顶</x:v>
      </x:c>
      <x:c r="G15" s="3" t="str">
        <x:v>种植</x:v>
      </x:c>
      <x:c r="H15" s="3" t="str">
        <x:v>Gross Michel（增益!D51）</x:v>
      </x:c>
    </x:row>
    <x:row r="16" ht="30" customHeight="1">
      <x:c r="A16" s="13" t="str">
        <x:v>R011</x:v>
      </x:c>
      <x:c r="B16" s="13" t="str">
        <x:v>加厚草垫</x:v>
      </x:c>
      <x:c r="C16" s="13" t="str">
        <x:v>普通</x:v>
      </x:c>
      <x:c r="D16" s="13" t="str">
        <x:v>结算加分</x:v>
      </x:c>
      <x:c r="E16" s="13" t="str">
        <x:v>接触着其他动物的动物，各本回合+2。</x:v>
      </x:c>
      <x:c r="F16" s="13" t="str">
        <x:v>每件1次</x:v>
      </x:c>
      <x:c r="G16" s="13" t="str">
        <x:v>牧场</x:v>
      </x:c>
      <x:c r="H16" s="13" t="str">
        <x:v>原创</x:v>
      </x:c>
    </x:row>
    <x:row r="17" ht="30" customHeight="1">
      <x:c r="A17" s="3" t="str">
        <x:v>R012</x:v>
      </x:c>
      <x:c r="B17" s="3" t="str">
        <x:v>双黄蛋谱</x:v>
      </x:c>
      <x:c r="C17" s="3" t="str">
        <x:v>优秀</x:v>
      </x:c>
      <x:c r="D17" s="3" t="str">
        <x:v>生产替换</x:v>
      </x:c>
      <x:c r="E17" s="3" t="str">
        <x:v>每回合第一颗正常生成的蛋改为双黄蛋。</x:v>
      </x:c>
      <x:c r="F17" s="3" t="str">
        <x:v>每回合1颗；不增加生产次数；仍是永久产物</x:v>
      </x:c>
      <x:c r="G17" s="3" t="str">
        <x:v>牧场</x:v>
      </x:c>
      <x:c r="H17" s="3" t="str">
        <x:v>Chicken（触发器!D71）</x:v>
      </x:c>
    </x:row>
    <x:row r="18" ht="30" customHeight="1">
      <x:c r="A18" s="13" t="str">
        <x:v>R013</x:v>
      </x:c>
      <x:c r="B18" s="13" t="str">
        <x:v>牧场铃铛</x:v>
      </x:c>
      <x:c r="C18" s="13" t="str">
        <x:v>优秀</x:v>
      </x:c>
      <x:c r="D18" s="13" t="str">
        <x:v>生产事件</x:v>
      </x:c>
      <x:c r="E18" s="13" t="str">
        <x:v>动物正常生产后，其当前接触的其他动物各本回合+1。</x:v>
      </x:c>
      <x:c r="F18" s="13" t="str">
        <x:v>每次最多3件；每回合最多响应4次生产</x:v>
      </x:c>
      <x:c r="G18" s="13" t="str">
        <x:v>牧场</x:v>
      </x:c>
      <x:c r="H18" s="13" t="str">
        <x:v>Donut（增益!D8）</x:v>
      </x:c>
    </x:row>
    <x:row r="19" ht="30" customHeight="1">
      <x:c r="A19" s="3" t="str">
        <x:v>R014</x:v>
      </x:c>
      <x:c r="B19" s="3" t="str">
        <x:v>营养饲料</x:v>
      </x:c>
      <x:c r="C19" s="3" t="str">
        <x:v>稀有</x:v>
      </x:c>
      <x:c r="D19" s="3" t="str">
        <x:v>消耗事件</x:v>
      </x:c>
      <x:c r="E19" s="3" t="str">
        <x:v>动物消耗谷物时，该动物本回合额外+4。</x:v>
      </x:c>
      <x:c r="F19" s="3" t="str">
        <x:v>每动物最多2次；谷物仍永久消耗</x:v>
      </x:c>
      <x:c r="G19" s="3" t="str">
        <x:v>牧场</x:v>
      </x:c>
      <x:c r="H19" s="3" t="str">
        <x:v>Fanny Pack（增益!D13）</x:v>
      </x:c>
    </x:row>
    <x:row r="20" ht="30" customHeight="1">
      <x:c r="A20" s="13" t="str">
        <x:v>R015</x:v>
      </x:c>
      <x:c r="B20" s="13" t="str">
        <x:v>珍禽图册</x:v>
      </x:c>
      <x:c r="C20" s="13" t="str">
        <x:v>史诗</x:v>
      </x:c>
      <x:c r="D20" s="13" t="str">
        <x:v>结算倍率</x:v>
      </x:c>
      <x:c r="E20" s="13" t="str">
        <x:v>场上至少有4种不同动物时，冻结值最高的3件动物获得+50%倍率。</x:v>
      </x:c>
      <x:c r="F20" s="13" t="str">
        <x:v>每回合1次</x:v>
      </x:c>
      <x:c r="G20" s="13" t="str">
        <x:v>牧场</x:v>
      </x:c>
      <x:c r="H20" s="13" t="str">
        <x:v>Rabbit's Foot（增益!D21）</x:v>
      </x:c>
    </x:row>
    <x:row r="21" ht="30" customHeight="1">
      <x:c r="A21" s="3" t="str">
        <x:v>R016</x:v>
      </x:c>
      <x:c r="B21" s="3" t="str">
        <x:v>矿工手套</x:v>
      </x:c>
      <x:c r="C21" s="3" t="str">
        <x:v>普通</x:v>
      </x:c>
      <x:c r="D21" s="3" t="str">
        <x:v>结算加分</x:v>
      </x:c>
      <x:c r="E21" s="3" t="str">
        <x:v>本回合被工具增值过且存活的矿石，各本回合+2。</x:v>
      </x:c>
      <x:c r="F21" s="3" t="str">
        <x:v>每件1次</x:v>
      </x:c>
      <x:c r="G21" s="3" t="str">
        <x:v>矿业</x:v>
      </x:c>
      <x:c r="H21" s="3" t="str">
        <x:v>原创</x:v>
      </x:c>
    </x:row>
    <x:row r="22" ht="30" customHeight="1">
      <x:c r="A22" s="13" t="str">
        <x:v>R017</x:v>
      </x:c>
      <x:c r="B22" s="13" t="str">
        <x:v>边角料箱</x:v>
      </x:c>
      <x:c r="C22" s="13" t="str">
        <x:v>优秀</x:v>
      </x:c>
      <x:c r="D22" s="13" t="str">
        <x:v>消耗事件</x:v>
      </x:c>
      <x:c r="E22" s="13" t="str">
        <x:v>矿业工具消耗矿石时，生成1件废料。</x:v>
      </x:c>
      <x:c r="F22" s="13" t="str">
        <x:v>每回合最多2件；废料不是矿石</x:v>
      </x:c>
      <x:c r="G22" s="13" t="str">
        <x:v>矿业</x:v>
      </x:c>
      <x:c r="H22" s="13" t="str">
        <x:v>Smokestack（增益!D25）</x:v>
      </x:c>
    </x:row>
    <x:row r="23" ht="30" customHeight="1">
      <x:c r="A23" s="3" t="str">
        <x:v>R018</x:v>
      </x:c>
      <x:c r="B23" s="3" t="str">
        <x:v>筛矿网</x:v>
      </x:c>
      <x:c r="C23" s="3" t="str">
        <x:v>优秀</x:v>
      </x:c>
      <x:c r="D23" s="3" t="str">
        <x:v>生产替换</x:v>
      </x:c>
      <x:c r="E23" s="3" t="str">
        <x:v>碎石机必定生成晶屑，不再随机生成金砂。</x:v>
      </x:c>
      <x:c r="F23" s="3" t="str">
        <x:v>不改变产量；晶屑基础分仍为4</x:v>
      </x:c>
      <x:c r="G23" s="3" t="str">
        <x:v>矿业</x:v>
      </x:c>
      <x:c r="H23" s="3" t="str">
        <x:v>Map（触发器!D85）</x:v>
      </x:c>
    </x:row>
    <x:row r="24" ht="30" customHeight="1">
      <x:c r="A24" s="13" t="str">
        <x:v>R019</x:v>
      </x:c>
      <x:c r="B24" s="13" t="str">
        <x:v>精炼工艺</x:v>
      </x:c>
      <x:c r="C24" s="13" t="str">
        <x:v>稀有</x:v>
      </x:c>
      <x:c r="D24" s="13" t="str">
        <x:v>生产修正</x:v>
      </x:c>
      <x:c r="E24" s="13" t="str">
        <x:v>熔炉生成的金属锭基础分由10改为12。</x:v>
      </x:c>
      <x:c r="F24" s="13" t="str">
        <x:v>只修改新生成的金属锭；作为永久基础分保留</x:v>
      </x:c>
      <x:c r="G24" s="13" t="str">
        <x:v>矿业</x:v>
      </x:c>
      <x:c r="H24" s="13" t="str">
        <x:v>原创</x:v>
      </x:c>
    </x:row>
    <x:row r="25" ht="30" customHeight="1">
      <x:c r="A25" s="3" t="str">
        <x:v>R020</x:v>
      </x:c>
      <x:c r="B25" s="3" t="str">
        <x:v>矿脉契约</x:v>
      </x:c>
      <x:c r="C25" s="3" t="str">
        <x:v>史诗</x:v>
      </x:c>
      <x:c r="D25" s="3" t="str">
        <x:v>结算倍率</x:v>
      </x:c>
      <x:c r="E25" s="3" t="str">
        <x:v>本回合消耗过至少3件矿石时，所有存活宝石和金属获得+50%倍率。</x:v>
      </x:c>
      <x:c r="F25" s="3" t="str">
        <x:v>每件1次；双标签不重复</x:v>
      </x:c>
      <x:c r="G25" s="3" t="str">
        <x:v>矿业</x:v>
      </x:c>
      <x:c r="H25" s="3" t="str">
        <x:v>Museum（触发器!D87）</x:v>
      </x:c>
    </x:row>
    <x:row r="26" ht="30" customHeight="1">
      <x:c r="A26" s="13" t="str">
        <x:v>R021</x:v>
      </x:c>
      <x:c r="B26" s="13" t="str">
        <x:v>耐火手套</x:v>
      </x:c>
      <x:c r="C26" s="13" t="str">
        <x:v>普通</x:v>
      </x:c>
      <x:c r="D26" s="13" t="str">
        <x:v>增值事件</x:v>
      </x:c>
      <x:c r="E26" s="13" t="str">
        <x:v>火元素对非元素物品的本回合固定数值增值额外+1。</x:v>
      </x:c>
      <x:c r="F26" s="13" t="str">
        <x:v>每目标最多3次；不增强永久成长</x:v>
      </x:c>
      <x:c r="G26" s="13" t="str">
        <x:v>元素</x:v>
      </x:c>
      <x:c r="H26" s="13" t="str">
        <x:v>Torch（触发器!D60）</x:v>
      </x:c>
    </x:row>
    <x:row r="27" ht="30" customHeight="1">
      <x:c r="A27" s="3" t="str">
        <x:v>R022</x:v>
      </x:c>
      <x:c r="B27" s="3" t="str">
        <x:v>冷凝管</x:v>
      </x:c>
      <x:c r="C27" s="3" t="str">
        <x:v>优秀</x:v>
      </x:c>
      <x:c r="D27" s="3" t="str">
        <x:v>生产事件</x:v>
      </x:c>
      <x:c r="E27" s="3" t="str">
        <x:v>本回合第一次正常生成蒸汽时，额外生成1颗水珠。</x:v>
      </x:c>
      <x:c r="F27" s="3" t="str">
        <x:v>每回合1颗；水珠永久保留</x:v>
      </x:c>
      <x:c r="G27" s="3" t="str">
        <x:v>元素</x:v>
      </x:c>
      <x:c r="H27" s="3" t="str">
        <x:v>Waterfall（增益!D55）</x:v>
      </x:c>
    </x:row>
    <x:row r="28" ht="30" customHeight="1">
      <x:c r="A28" s="13" t="str">
        <x:v>R023</x:v>
      </x:c>
      <x:c r="B28" s="13" t="str">
        <x:v>双芯烛台</x:v>
      </x:c>
      <x:c r="C28" s="13" t="str">
        <x:v>优秀</x:v>
      </x:c>
      <x:c r="D28" s="13" t="str">
        <x:v>结算末</x:v>
      </x:c>
      <x:c r="E28" s="13" t="str">
        <x:v>每有1根存活且点亮的蜡烛，额外记分4。</x:v>
      </x:c>
      <x:c r="F28" s="13" t="str">
        <x:v>最多计4根</x:v>
      </x:c>
      <x:c r="G28" s="13" t="str">
        <x:v>元素</x:v>
      </x:c>
      <x:c r="H28" s="13" t="str">
        <x:v>Candle（触发器!D11）</x:v>
      </x:c>
    </x:row>
    <x:row r="29" ht="30" customHeight="1">
      <x:c r="A29" s="3" t="str">
        <x:v>R024</x:v>
      </x:c>
      <x:c r="B29" s="3" t="str">
        <x:v>水火交融</x:v>
      </x:c>
      <x:c r="C29" s="3" t="str">
        <x:v>稀有</x:v>
      </x:c>
      <x:c r="D29" s="3" t="str">
        <x:v>结算加分</x:v>
      </x:c>
      <x:c r="E29" s="3" t="str">
        <x:v>场上同时有水元素和火元素时，所有换热器与蒸汽锅炉本回合+6。</x:v>
      </x:c>
      <x:c r="F29" s="3" t="str">
        <x:v>需两个不同实例；每件1次</x:v>
      </x:c>
      <x:c r="G29" s="3" t="str">
        <x:v>元素</x:v>
      </x:c>
      <x:c r="H29" s="3" t="str">
        <x:v>Radiator（触发器!D23）</x:v>
      </x:c>
    </x:row>
    <x:row r="30" ht="30" customHeight="1">
      <x:c r="A30" s="13" t="str">
        <x:v>R025</x:v>
      </x:c>
      <x:c r="B30" s="13" t="str">
        <x:v>烟火庆典</x:v>
      </x:c>
      <x:c r="C30" s="13" t="str">
        <x:v>史诗</x:v>
      </x:c>
      <x:c r="D30" s="13" t="str">
        <x:v>结算倍率</x:v>
      </x:c>
      <x:c r="E30" s="13" t="str">
        <x:v>本回合生成过至少3种不同元素产物时，所有存活火元素和水元素获得+50%倍率。</x:v>
      </x:c>
      <x:c r="F30" s="13" t="str">
        <x:v>每件1次；双标签不重复</x:v>
      </x:c>
      <x:c r="G30" s="13" t="str">
        <x:v>元素</x:v>
      </x:c>
      <x:c r="H30" s="13" t="str">
        <x:v>Firecracker（触发器!D42）</x:v>
      </x:c>
    </x:row>
    <x:row r="31" ht="30" customHeight="1">
      <x:c r="A31" s="3" t="str">
        <x:v>R026</x:v>
      </x:c>
      <x:c r="B31" s="3" t="str">
        <x:v>收据夹</x:v>
      </x:c>
      <x:c r="C31" s="3" t="str">
        <x:v>普通</x:v>
      </x:c>
      <x:c r="D31" s="3" t="str">
        <x:v>记分事件</x:v>
      </x:c>
      <x:c r="E31" s="3" t="str">
        <x:v>收银机成功记分时，额外记分2。</x:v>
      </x:c>
      <x:c r="F31" s="3" t="str">
        <x:v>每回合最多4次；额外记分不再次触发本遗物</x:v>
      </x:c>
      <x:c r="G31" s="3" t="str">
        <x:v>集市</x:v>
      </x:c>
      <x:c r="H31" s="3" t="str">
        <x:v>Receipt（增益!D22）</x:v>
      </x:c>
    </x:row>
    <x:row r="32" ht="30" customHeight="1">
      <x:c r="A32" s="13" t="str">
        <x:v>R027</x:v>
      </x:c>
      <x:c r="B32" s="13" t="str">
        <x:v>分类货签</x:v>
      </x:c>
      <x:c r="C32" s="13" t="str">
        <x:v>优秀</x:v>
      </x:c>
      <x:c r="D32" s="13" t="str">
        <x:v>结算加分</x:v>
      </x:c>
      <x:c r="E32" s="13" t="str">
        <x:v>场上商品每有1种不同名称，所有存活集市物品本回合+1。</x:v>
      </x:c>
      <x:c r="F32" s="13" t="str">
        <x:v>最多计4种</x:v>
      </x:c>
      <x:c r="G32" s="13" t="str">
        <x:v>集市</x:v>
      </x:c>
      <x:c r="H32" s="13" t="str">
        <x:v>Fanny Pack（增益!D13）</x:v>
      </x:c>
    </x:row>
    <x:row r="33" ht="30" customHeight="1">
      <x:c r="A33" s="3" t="str">
        <x:v>R028</x:v>
      </x:c>
      <x:c r="B33" s="3" t="str">
        <x:v>满架奖励</x:v>
      </x:c>
      <x:c r="C33" s="3" t="str">
        <x:v>优秀</x:v>
      </x:c>
      <x:c r="D33" s="3" t="str">
        <x:v>结算加分</x:v>
      </x:c>
      <x:c r="E33" s="3" t="str">
        <x:v>货架接触至少3件商品，或宝石展台接触至少3件宝石时，该货架或展台本回合+6。</x:v>
      </x:c>
      <x:c r="F33" s="3" t="str">
        <x:v>每件1次；只检查实际接触</x:v>
      </x:c>
      <x:c r="G33" s="3" t="str">
        <x:v>集市</x:v>
      </x:c>
      <x:c r="H33" s="3" t="str">
        <x:v>Abacus（增益!D31）</x:v>
      </x:c>
    </x:row>
    <x:row r="34" ht="30" customHeight="1">
      <x:c r="A34" s="13" t="str">
        <x:v>R029</x:v>
      </x:c>
      <x:c r="B34" s="13" t="str">
        <x:v>精打细算</x:v>
      </x:c>
      <x:c r="C34" s="13" t="str">
        <x:v>稀有</x:v>
      </x:c>
      <x:c r="D34" s="13" t="str">
        <x:v>结算末</x:v>
      </x:c>
      <x:c r="E34" s="13" t="str">
        <x:v>金算盘成功触发自身永久成长时，再获得永久基础分+1。</x:v>
      </x:c>
      <x:c r="F34" s="13" t="str">
        <x:v>每算盘来自本遗物累计+5封顶</x:v>
      </x:c>
      <x:c r="G34" s="13" t="str">
        <x:v>集市</x:v>
      </x:c>
      <x:c r="H34" s="13" t="str">
        <x:v>Growth Serum（增益!D52）</x:v>
      </x:c>
    </x:row>
    <x:row r="35" ht="30" customHeight="1">
      <x:c r="A35" s="3" t="str">
        <x:v>R030</x:v>
      </x:c>
      <x:c r="B35" s="3" t="str">
        <x:v>市集招牌</x:v>
      </x:c>
      <x:c r="C35" s="3" t="str">
        <x:v>史诗</x:v>
      </x:c>
      <x:c r="D35" s="3" t="str">
        <x:v>结算倍率</x:v>
      </x:c>
      <x:c r="E35" s="3" t="str">
        <x:v>本回合拍卖槌消耗过商品时，所有存活集市物品获得+50%倍率。</x:v>
      </x:c>
      <x:c r="F35" s="3" t="str">
        <x:v>每回合1次</x:v>
      </x:c>
      <x:c r="G35" s="3" t="str">
        <x:v>集市</x:v>
      </x:c>
      <x:c r="H35" s="3" t="str">
        <x:v>Blender（增益!D35）</x:v>
      </x:c>
    </x:row>
    <x:row r="36" ht="30" customHeight="1">
      <x:c r="A36" s="13" t="str">
        <x:v>R031</x:v>
      </x:c>
      <x:c r="B36" s="13" t="str">
        <x:v>备用电芯</x:v>
      </x:c>
      <x:c r="C36" s="13" t="str">
        <x:v>普通</x:v>
      </x:c>
      <x:c r="D36" s="13" t="str">
        <x:v>入瓶</x:v>
      </x:c>
      <x:c r="E36" s="13" t="str">
        <x:v>初始抽取的充能物品各额外获得1充能。</x:v>
      </x:c>
      <x:c r="F36" s="13" t="str">
        <x:v>每件1次；不超过5；电源除外</x:v>
      </x:c>
      <x:c r="G36" s="13" t="str">
        <x:v>机械</x:v>
      </x:c>
      <x:c r="H36" s="13" t="str">
        <x:v>Backup Battery（增益!D2）</x:v>
      </x:c>
    </x:row>
    <x:row r="37" ht="30" customHeight="1">
      <x:c r="A37" s="3" t="str">
        <x:v>R032</x:v>
      </x:c>
      <x:c r="B37" s="3" t="str">
        <x:v>能量回执</x:v>
      </x:c>
      <x:c r="C37" s="3" t="str">
        <x:v>优秀</x:v>
      </x:c>
      <x:c r="D37" s="3" t="str">
        <x:v>花费充能</x:v>
      </x:c>
      <x:c r="E37" s="3" t="str">
        <x:v>每实际花费1充能，额外记分1。</x:v>
      </x:c>
      <x:c r="F37" s="3" t="str">
        <x:v>每回合最多12分；花费电量不计</x:v>
      </x:c>
      <x:c r="G37" s="3" t="str">
        <x:v>机械</x:v>
      </x:c>
      <x:c r="H37" s="3" t="str">
        <x:v>Receipt（增益!D22）</x:v>
      </x:c>
    </x:row>
    <x:row r="38" ht="30" customHeight="1">
      <x:c r="A38" s="13" t="str">
        <x:v>R033</x:v>
      </x:c>
      <x:c r="B38" s="13" t="str">
        <x:v>节能齿轮</x:v>
      </x:c>
      <x:c r="C38" s="13" t="str">
        <x:v>优秀</x:v>
      </x:c>
      <x:c r="D38" s="13" t="str">
        <x:v>花费充能</x:v>
      </x:c>
      <x:c r="E38" s="13" t="str">
        <x:v>每件充能物品第一次正常花费充能后返还1充能。</x:v>
      </x:c>
      <x:c r="F38" s="13" t="str">
        <x:v>每实例1次；返还不算新的花费</x:v>
      </x:c>
      <x:c r="G38" s="13" t="str">
        <x:v>机械</x:v>
      </x:c>
      <x:c r="H38" s="13" t="str">
        <x:v>Refrigerator（触发器!D91）</x:v>
      </x:c>
    </x:row>
    <x:row r="39" ht="30" customHeight="1">
      <x:c r="A39" s="3" t="str">
        <x:v>R034</x:v>
      </x:c>
      <x:c r="B39" s="3" t="str">
        <x:v>并联线圈</x:v>
      </x:c>
      <x:c r="C39" s="3" t="str">
        <x:v>稀有</x:v>
      </x:c>
      <x:c r="D39" s="3" t="str">
        <x:v>结算加分</x:v>
      </x:c>
      <x:c r="E39" s="3" t="str">
        <x:v>充能物品每剩1充能，自己本回合+2。</x:v>
      </x:c>
      <x:c r="F39" s="3" t="str">
        <x:v>每件最多计3充能</x:v>
      </x:c>
      <x:c r="G39" s="3" t="str">
        <x:v>机械</x:v>
      </x:c>
      <x:c r="H39" s="3" t="str">
        <x:v>Greenhouse（触发器!D80）</x:v>
      </x:c>
    </x:row>
    <x:row r="40" ht="30" customHeight="1">
      <x:c r="A40" s="13" t="str">
        <x:v>R035</x:v>
      </x:c>
      <x:c r="B40" s="13" t="str">
        <x:v>过载许可证</x:v>
      </x:c>
      <x:c r="C40" s="13" t="str">
        <x:v>史诗</x:v>
      </x:c>
      <x:c r="D40" s="13" t="str">
        <x:v>结算加分</x:v>
      </x:c>
      <x:c r="E40" s="13" t="str">
        <x:v>本回合实际累计花费至少3充能的物品，各本回合+10。</x:v>
      </x:c>
      <x:c r="F40" s="13" t="str">
        <x:v>每件1次；不增加技能次数</x:v>
      </x:c>
      <x:c r="G40" s="13" t="str">
        <x:v>机械</x:v>
      </x:c>
      <x:c r="H40" s="13" t="str">
        <x:v>Donut（增益!D8）</x:v>
      </x:c>
    </x:row>
    <x:row r="41" ht="30" customHeight="1">
      <x:c r="A41" s="3" t="str">
        <x:v>R036</x:v>
      </x:c>
      <x:c r="B41" s="3" t="str">
        <x:v>悼念花束</x:v>
      </x:c>
      <x:c r="C41" s="3" t="str">
        <x:v>普通</x:v>
      </x:c>
      <x:c r="D41" s="3" t="str">
        <x:v>消耗事件</x:v>
      </x:c>
      <x:c r="E41" s="3" t="str">
        <x:v>初始抽取物品本回合第一次被消耗时，额外记分2。</x:v>
      </x:c>
      <x:c r="F41" s="3" t="str">
        <x:v>每实例1次；每回合最多6件</x:v>
      </x:c>
      <x:c r="G41" s="3" t="str">
        <x:v>灵魂</x:v>
      </x:c>
      <x:c r="H41" s="3" t="str">
        <x:v>Tombstone（增益!D26）</x:v>
      </x:c>
    </x:row>
    <x:row r="42" ht="30" customHeight="1">
      <x:c r="A42" s="13" t="str">
        <x:v>R037</x:v>
      </x:c>
      <x:c r="B42" s="13" t="str">
        <x:v>不灭烛芯</x:v>
      </x:c>
      <x:c r="C42" s="13" t="str">
        <x:v>优秀</x:v>
      </x:c>
      <x:c r="D42" s="13" t="str">
        <x:v>消耗事件</x:v>
      </x:c>
      <x:c r="E42" s="13" t="str">
        <x:v>幽灵被消耗时，额外记分1。</x:v>
      </x:c>
      <x:c r="F42" s="13" t="str">
        <x:v>每实例1次；每回合最多6个</x:v>
      </x:c>
      <x:c r="G42" s="13" t="str">
        <x:v>灵魂</x:v>
      </x:c>
      <x:c r="H42" s="13" t="str">
        <x:v>Douter（增益!D9）</x:v>
      </x:c>
    </x:row>
    <x:row r="43" ht="30" customHeight="1">
      <x:c r="A43" s="3" t="str">
        <x:v>R038</x:v>
      </x:c>
      <x:c r="B43" s="3" t="str">
        <x:v>送别铃声</x:v>
      </x:c>
      <x:c r="C43" s="3" t="str">
        <x:v>优秀</x:v>
      </x:c>
      <x:c r="D43" s="3" t="str">
        <x:v>消耗事件</x:v>
      </x:c>
      <x:c r="E43" s="3" t="str">
        <x:v>灵魂物品被消耗时，所有当前存活的亡语铃各本回合+2。</x:v>
      </x:c>
      <x:c r="F43" s="3" t="str">
        <x:v>每个铃最多获益4次</x:v>
      </x:c>
      <x:c r="G43" s="3" t="str">
        <x:v>灵魂</x:v>
      </x:c>
      <x:c r="H43" s="3" t="str">
        <x:v>Smokestack（增益!D25）</x:v>
      </x:c>
    </x:row>
    <x:row r="44" ht="30" customHeight="1">
      <x:c r="A44" s="13" t="str">
        <x:v>R039</x:v>
      </x:c>
      <x:c r="B44" s="13" t="str">
        <x:v>魂火提灯</x:v>
      </x:c>
      <x:c r="C44" s="13" t="str">
        <x:v>稀有</x:v>
      </x:c>
      <x:c r="D44" s="13" t="str">
        <x:v>结算倍率</x:v>
      </x:c>
      <x:c r="E44" s="13" t="str">
        <x:v>本回合消耗过至少2个不同幽灵时，所有存活魂火和灵魂石获得+75%倍率。</x:v>
      </x:c>
      <x:c r="F44" s="13" t="str">
        <x:v>每回合1次</x:v>
      </x:c>
      <x:c r="G44" s="13" t="str">
        <x:v>灵魂</x:v>
      </x:c>
      <x:c r="H44" s="13" t="str">
        <x:v>Tombstone（增益!D26）</x:v>
      </x:c>
    </x:row>
    <x:row r="45" ht="30" customHeight="1">
      <x:c r="A45" s="3" t="str">
        <x:v>R040</x:v>
      </x:c>
      <x:c r="B45" s="3" t="str">
        <x:v>轮回契约</x:v>
      </x:c>
      <x:c r="C45" s="3" t="str">
        <x:v>史诗</x:v>
      </x:c>
      <x:c r="D45" s="3" t="str">
        <x:v>结算倍率</x:v>
      </x:c>
      <x:c r="E45" s="3" t="str">
        <x:v>本回合第一件被轮回匣返还且存活的物品，获得+100%倍率。</x:v>
      </x:c>
      <x:c r="F45" s="3" t="str">
        <x:v>每回合1件；返还不刷新任何次数</x:v>
      </x:c>
      <x:c r="G45" s="3" t="str">
        <x:v>灵魂</x:v>
      </x:c>
      <x:c r="H45" s="3" t="str">
        <x:v>Spell of Rebirth（触发器!D125）</x:v>
      </x:c>
    </x:row>
    <x:row r="46" ht="30" customHeight="1">
      <x:c r="A46" s="13" t="str">
        <x:v>R041</x:v>
      </x:c>
      <x:c r="B46" s="13" t="str">
        <x:v>绒布底座</x:v>
      </x:c>
      <x:c r="C46" s="13" t="str">
        <x:v>普通</x:v>
      </x:c>
      <x:c r="D46" s="13" t="str">
        <x:v>结算加分</x:v>
      </x:c>
      <x:c r="E46" s="13" t="str">
        <x:v>所有存活宝石各本回合+1。</x:v>
      </x:c>
      <x:c r="F46" s="13" t="str">
        <x:v>每件1次</x:v>
      </x:c>
      <x:c r="G46" s="13" t="str">
        <x:v>宝石</x:v>
      </x:c>
      <x:c r="H46" s="13" t="str">
        <x:v>Amethyst（触发器!D103）</x:v>
      </x:c>
    </x:row>
    <x:row r="47" ht="30" customHeight="1">
      <x:c r="A47" s="3" t="str">
        <x:v>R042</x:v>
      </x:c>
      <x:c r="B47" s="3" t="str">
        <x:v>宝石匣谱</x:v>
      </x:c>
      <x:c r="C47" s="3" t="str">
        <x:v>优秀</x:v>
      </x:c>
      <x:c r="D47" s="3" t="str">
        <x:v>结算加分</x:v>
      </x:c>
      <x:c r="E47" s="3" t="str">
        <x:v>场上宝石每有1种不同名称，所有存活共鸣物品本回合+1。</x:v>
      </x:c>
      <x:c r="F47" s="3" t="str">
        <x:v>最多计4种</x:v>
      </x:c>
      <x:c r="G47" s="3" t="str">
        <x:v>宝石</x:v>
      </x:c>
      <x:c r="H47" s="3" t="str">
        <x:v>Amethyst（触发器!D103）</x:v>
      </x:c>
    </x:row>
    <x:row r="48" ht="38" customHeight="1">
      <x:c r="A48" s="13" t="str">
        <x:v>R043</x:v>
      </x:c>
      <x:c r="B48" s="13" t="str">
        <x:v>共鸣余音</x:v>
      </x:c>
      <x:c r="C48" s="13" t="str">
        <x:v>优秀</x:v>
      </x:c>
      <x:c r="D48" s="13" t="str">
        <x:v>9.5秒</x:v>
      </x:c>
      <x:c r="E48" s="13" t="str">
        <x:v>若存在至少3件宝石组成的接触组，在符合条件且当前值最高的宝石附近临时生成1颗回声珠。</x:v>
      </x:c>
      <x:c r="F48" s="13" t="str">
        <x:v>每回合1颗；不延长10秒回合</x:v>
      </x:c>
      <x:c r="G48" s="13" t="str">
        <x:v>宝石</x:v>
      </x:c>
      <x:c r="H48" s="13" t="str">
        <x:v>Topaz（触发器!D126）</x:v>
      </x:c>
    </x:row>
    <x:row r="49" ht="30" customHeight="1">
      <x:c r="A49" s="3" t="str">
        <x:v>R044</x:v>
      </x:c>
      <x:c r="B49" s="3" t="str">
        <x:v>透镜镀膜</x:v>
      </x:c>
      <x:c r="C49" s="3" t="str">
        <x:v>稀有</x:v>
      </x:c>
      <x:c r="D49" s="3" t="str">
        <x:v>结算修正</x:v>
      </x:c>
      <x:c r="E49" s="3" t="str">
        <x:v>镜片读取的比例由50%改为75%。</x:v>
      </x:c>
      <x:c r="F49" s="3" t="str">
        <x:v>只读取冻结值；仍向下取整</x:v>
      </x:c>
      <x:c r="G49" s="3" t="str">
        <x:v>宝石</x:v>
      </x:c>
      <x:c r="H49" s="3" t="str">
        <x:v>原创</x:v>
      </x:c>
    </x:row>
    <x:row r="50" ht="30" customHeight="1">
      <x:c r="A50" s="13" t="str">
        <x:v>R045</x:v>
      </x:c>
      <x:c r="B50" s="13" t="str">
        <x:v>七彩折射</x:v>
      </x:c>
      <x:c r="C50" s="13" t="str">
        <x:v>史诗</x:v>
      </x:c>
      <x:c r="D50" s="13" t="str">
        <x:v>结算倍率</x:v>
      </x:c>
      <x:c r="E50" s="13" t="str">
        <x:v>场上至少有5种不同宝石时，所有存活宝石获得+50%倍率。</x:v>
      </x:c>
      <x:c r="F50" s="13" t="str">
        <x:v>每回合1次</x:v>
      </x:c>
      <x:c r="G50" s="13" t="str">
        <x:v>宝石</x:v>
      </x:c>
      <x:c r="H50" s="13" t="str">
        <x:v>Rainbow（触发器!D90）</x:v>
      </x:c>
    </x:row>
    <x:row r="51" ht="30" customHeight="1">
      <x:c r="A51" s="3" t="str">
        <x:v>R046</x:v>
      </x:c>
      <x:c r="B51" s="3" t="str">
        <x:v>磨刀石</x:v>
      </x:c>
      <x:c r="C51" s="3" t="str">
        <x:v>普通</x:v>
      </x:c>
      <x:c r="D51" s="3" t="str">
        <x:v>伤害事件</x:v>
      </x:c>
      <x:c r="E51" s="3" t="str">
        <x:v>木剑实际造成伤害后，自己本回合额外+2。</x:v>
      </x:c>
      <x:c r="F51" s="3" t="str">
        <x:v>每剑最多3次；不增加伤害</x:v>
      </x:c>
      <x:c r="G51" s="3" t="str">
        <x:v>探险</x:v>
      </x:c>
      <x:c r="H51" s="3" t="str">
        <x:v>Sword（触发器!D58）</x:v>
      </x:c>
    </x:row>
    <x:row r="52" ht="30" customHeight="1">
      <x:c r="A52" s="13" t="str">
        <x:v>R047</x:v>
      </x:c>
      <x:c r="B52" s="13" t="str">
        <x:v>备用钥匙圈</x:v>
      </x:c>
      <x:c r="C52" s="13" t="str">
        <x:v>优秀</x:v>
      </x:c>
      <x:c r="D52" s="13" t="str">
        <x:v>入瓶</x:v>
      </x:c>
      <x:c r="E52" s="13" t="str">
        <x:v>初始抽取中有宝箱时，在其中1个宝箱附近生成1把钥匙。</x:v>
      </x:c>
      <x:c r="F52" s="13" t="str">
        <x:v>每回合1把；永久加入牌库；沿用I097定义</x:v>
      </x:c>
      <x:c r="G52" s="13" t="str">
        <x:v>探险</x:v>
      </x:c>
      <x:c r="H52" s="13" t="str">
        <x:v>Treasure Chest（触发器!D61）</x:v>
      </x:c>
    </x:row>
    <x:row r="53" ht="30" customHeight="1">
      <x:c r="A53" s="3" t="str">
        <x:v>R048</x:v>
      </x:c>
      <x:c r="B53" s="3" t="str">
        <x:v>旅途地图册</x:v>
      </x:c>
      <x:c r="C53" s="3" t="str">
        <x:v>优秀</x:v>
      </x:c>
      <x:c r="D53" s="3" t="str">
        <x:v>结算加分</x:v>
      </x:c>
      <x:c r="E53" s="3" t="str">
        <x:v>接触着地图的探险物品各本回合+4。</x:v>
      </x:c>
      <x:c r="F53" s="3" t="str">
        <x:v>每件1次</x:v>
      </x:c>
      <x:c r="G53" s="3" t="str">
        <x:v>探险</x:v>
      </x:c>
      <x:c r="H53" s="3" t="str">
        <x:v>Map（触发器!D85）</x:v>
      </x:c>
    </x:row>
    <x:row r="54" ht="30" customHeight="1">
      <x:c r="A54" s="13" t="str">
        <x:v>R049</x:v>
      </x:c>
      <x:c r="B54" s="13" t="str">
        <x:v>胜利绶带</x:v>
      </x:c>
      <x:c r="C54" s="13" t="str">
        <x:v>稀有</x:v>
      </x:c>
      <x:c r="D54" s="13" t="str">
        <x:v>击败事件</x:v>
      </x:c>
      <x:c r="E54" s="13" t="str">
        <x:v>守门巨像被击败时，所有实际伤害过它且仍存活的木剑各本回合+6。</x:v>
      </x:c>
      <x:c r="F54" s="13" t="str">
        <x:v>每剑每回合最多获益2次</x:v>
      </x:c>
      <x:c r="G54" s="13" t="str">
        <x:v>探险</x:v>
      </x:c>
      <x:c r="H54" s="13" t="str">
        <x:v>Gavel（增益!D15）</x:v>
      </x:c>
    </x:row>
    <x:row r="55" ht="30" customHeight="1">
      <x:c r="A55" s="3" t="str">
        <x:v>R050</x:v>
      </x:c>
      <x:c r="B55" s="3" t="str">
        <x:v>探险家勋章</x:v>
      </x:c>
      <x:c r="C55" s="3" t="str">
        <x:v>史诗</x:v>
      </x:c>
      <x:c r="D55" s="3" t="str">
        <x:v>结算倍率</x:v>
      </x:c>
      <x:c r="E55" s="3" t="str">
        <x:v>本回合既打开过宝箱又击败过守门巨像时，所有存活探险物品获得+100%倍率。</x:v>
      </x:c>
      <x:c r="F55" s="3" t="str">
        <x:v>每回合1次</x:v>
      </x:c>
      <x:c r="G55" s="3" t="str">
        <x:v>探险</x:v>
      </x:c>
      <x:c r="H55" s="3" t="str">
        <x:v>Scary Mask（增益!D23）</x:v>
      </x:c>
    </x:row>
    <x:row r="56" ht="30" customHeight="1">
      <x:c r="A56" s="13" t="str">
        <x:v>R051</x:v>
      </x:c>
      <x:c r="B56" s="13" t="str">
        <x:v>印泥</x:v>
      </x:c>
      <x:c r="C56" s="13" t="str">
        <x:v>普通</x:v>
      </x:c>
      <x:c r="D56" s="13" t="str">
        <x:v>永久增值</x:v>
      </x:c>
      <x:c r="E56" s="13" t="str">
        <x:v>印章使信封或纪念票永久增值时，该目标再永久基础分+1。</x:v>
      </x:c>
      <x:c r="F56" s="13" t="str">
        <x:v>每目标每回合1次；合并进印章原效果</x:v>
      </x:c>
      <x:c r="G56" s="13" t="str">
        <x:v>连锁</x:v>
      </x:c>
      <x:c r="H56" s="13" t="str">
        <x:v>原创</x:v>
      </x:c>
    </x:row>
    <x:row r="57" ht="30" customHeight="1">
      <x:c r="A57" s="3" t="str">
        <x:v>R052</x:v>
      </x:c>
      <x:c r="B57" s="3" t="str">
        <x:v>接力手册</x:v>
      </x:c>
      <x:c r="C57" s="3" t="str">
        <x:v>优秀</x:v>
      </x:c>
      <x:c r="D57" s="3" t="str">
        <x:v>结算加分</x:v>
      </x:c>
      <x:c r="E57" s="3" t="str">
        <x:v>本回合曾被至少2种不同物品增值过的存活物品，各本回合+2。</x:v>
      </x:c>
      <x:c r="F57" s="3" t="str">
        <x:v>每件1次；只计摇晃中的成功增值</x:v>
      </x:c>
      <x:c r="G57" s="3" t="str">
        <x:v>连锁</x:v>
      </x:c>
      <x:c r="H57" s="3" t="str">
        <x:v>Cave（触发器!D13）</x:v>
      </x:c>
    </x:row>
    <x:row r="58" ht="30" customHeight="1">
      <x:c r="A58" s="13" t="str">
        <x:v>R053</x:v>
      </x:c>
      <x:c r="B58" s="13" t="str">
        <x:v>集邮册</x:v>
      </x:c>
      <x:c r="C58" s="13" t="str">
        <x:v>优秀</x:v>
      </x:c>
      <x:c r="D58" s="13" t="str">
        <x:v>消耗事件</x:v>
      </x:c>
      <x:c r="E58" s="13" t="str">
        <x:v>邮筒消耗信封时，生成1张纪念票。</x:v>
      </x:c>
      <x:c r="F58" s="13" t="str">
        <x:v>每回合1张；消耗纪念票不能触发</x:v>
      </x:c>
      <x:c r="G58" s="13" t="str">
        <x:v>连锁</x:v>
      </x:c>
      <x:c r="H58" s="13" t="str">
        <x:v>原创</x:v>
      </x:c>
    </x:row>
    <x:row r="59" ht="30" customHeight="1">
      <x:c r="A59" s="3" t="str">
        <x:v>R054</x:v>
      </x:c>
      <x:c r="B59" s="3" t="str">
        <x:v>接力奖章</x:v>
      </x:c>
      <x:c r="C59" s="3" t="str">
        <x:v>稀有</x:v>
      </x:c>
      <x:c r="D59" s="3" t="str">
        <x:v>结算倍率</x:v>
      </x:c>
      <x:c r="E59" s="3" t="str">
        <x:v>本回合成功增值过至少2件物品的接力棒，获得+100%倍率。</x:v>
      </x:c>
      <x:c r="F59" s="3" t="str">
        <x:v>每接力棒1次</x:v>
      </x:c>
      <x:c r="G59" s="3" t="str">
        <x:v>连锁</x:v>
      </x:c>
      <x:c r="H59" s="3" t="str">
        <x:v>Cave（触发器!D13）</x:v>
      </x:c>
    </x:row>
    <x:row r="60" ht="30" customHeight="1">
      <x:c r="A60" s="13" t="str">
        <x:v>R055</x:v>
      </x:c>
      <x:c r="B60" s="13" t="str">
        <x:v>连环封印</x:v>
      </x:c>
      <x:c r="C60" s="13" t="str">
        <x:v>史诗</x:v>
      </x:c>
      <x:c r="D60" s="13" t="str">
        <x:v>结算加分</x:v>
      </x:c>
      <x:c r="E60" s="13" t="str">
        <x:v>场上至少4件非连锁物品曾被至少2种不同物品增值过时，所有存活连锁物品本回合+6。</x:v>
      </x:c>
      <x:c r="F60" s="13" t="str">
        <x:v>每回合1次；只计摇晃中的成功增值</x:v>
      </x:c>
      <x:c r="G60" s="13" t="str">
        <x:v>连锁</x:v>
      </x:c>
      <x:c r="H60" s="13" t="str">
        <x:v>原创</x:v>
      </x:c>
    </x:row>
    <x:row r="61" ht="30" customHeight="1">
      <x:c r="A61" s="3" t="str">
        <x:v>R056</x:v>
      </x:c>
      <x:c r="B61" s="3" t="str">
        <x:v>旧照片</x:v>
      </x:c>
      <x:c r="C61" s="3" t="str">
        <x:v>普通</x:v>
      </x:c>
      <x:c r="D61" s="3" t="str">
        <x:v>结算加分</x:v>
      </x:c>
      <x:c r="E61" s="3" t="str">
        <x:v>永久基础分高于该形态初始基础分的存活物品，各本回合+2。</x:v>
      </x:c>
      <x:c r="F61" s="3" t="str">
        <x:v>每件1次</x:v>
      </x:c>
      <x:c r="G61" s="3" t="str">
        <x:v>结算</x:v>
      </x:c>
      <x:c r="H61" s="3" t="str">
        <x:v>Camera（触发器!D69）</x:v>
      </x:c>
    </x:row>
    <x:row r="62" ht="30" customHeight="1">
      <x:c r="A62" s="13" t="str">
        <x:v>R057</x:v>
      </x:c>
      <x:c r="B62" s="13" t="str">
        <x:v>登场纪念章</x:v>
      </x:c>
      <x:c r="C62" s="13" t="str">
        <x:v>优秀</x:v>
      </x:c>
      <x:c r="D62" s="13" t="str">
        <x:v>结算末</x:v>
      </x:c>
      <x:c r="E62" s="13" t="str">
        <x:v>初始抽取且存活的成长物品中，永久基础分最低的1件永久基础分+1。</x:v>
      </x:c>
      <x:c r="F62" s="13" t="str">
        <x:v>每回合1件；每实例来自本遗物累计+5封顶</x:v>
      </x:c>
      <x:c r="G62" s="13" t="str">
        <x:v>结算</x:v>
      </x:c>
      <x:c r="H62" s="13" t="str">
        <x:v>Gross Michel（增益!D51）</x:v>
      </x:c>
    </x:row>
    <x:row r="63" ht="30" customHeight="1">
      <x:c r="A63" s="3" t="str">
        <x:v>R058</x:v>
      </x:c>
      <x:c r="B63" s="3" t="str">
        <x:v>精密标尺</x:v>
      </x:c>
      <x:c r="C63" s="3" t="str">
        <x:v>优秀</x:v>
      </x:c>
      <x:c r="D63" s="3" t="str">
        <x:v>结算加分末</x:v>
      </x:c>
      <x:c r="E63" s="3" t="str">
        <x:v>获得过正数结算加分的物品，各本回合再+1。</x:v>
      </x:c>
      <x:c r="F63" s="3" t="str">
        <x:v>每件1次；排除本遗物自身加分</x:v>
      </x:c>
      <x:c r="G63" s="3" t="str">
        <x:v>结算</x:v>
      </x:c>
      <x:c r="H63" s="3" t="str">
        <x:v>原创</x:v>
      </x:c>
    </x:row>
    <x:row r="64" ht="30" customHeight="1">
      <x:c r="A64" s="13" t="str">
        <x:v>R059</x:v>
      </x:c>
      <x:c r="B64" s="13" t="str">
        <x:v>头等奖座</x:v>
      </x:c>
      <x:c r="C64" s="13" t="str">
        <x:v>稀有</x:v>
      </x:c>
      <x:c r="D64" s="13" t="str">
        <x:v>结算倍率</x:v>
      </x:c>
      <x:c r="E64" s="13" t="str">
        <x:v>冻结值唯一最高且至少为10的物品，获得+50%倍率。</x:v>
      </x:c>
      <x:c r="F64" s="13" t="str">
        <x:v>每回合1件；并列不生效</x:v>
      </x:c>
      <x:c r="G64" s="13" t="str">
        <x:v>结算</x:v>
      </x:c>
      <x:c r="H64" s="13" t="str">
        <x:v>Compass（触发器!D73）</x:v>
      </x:c>
    </x:row>
    <x:row r="65" ht="30" customHeight="1">
      <x:c r="A65" s="3" t="str">
        <x:v>R060</x:v>
      </x:c>
      <x:c r="B65" s="3" t="str">
        <x:v>时代藏品</x:v>
      </x:c>
      <x:c r="C65" s="3" t="str">
        <x:v>史诗</x:v>
      </x:c>
      <x:c r="D65" s="3" t="str">
        <x:v>结算倍率</x:v>
      </x:c>
      <x:c r="E65" s="3" t="str">
        <x:v>至少3件存活物品具有永久基础分成长增量时，所有存活成长物品获得+50%倍率。</x:v>
      </x:c>
      <x:c r="F65" s="3" t="str">
        <x:v>每回合1次</x:v>
      </x:c>
      <x:c r="G65" s="3" t="str">
        <x:v>结算</x:v>
      </x:c>
      <x:c r="H65" s="3" t="str">
        <x:v>Hourglass（增益!D39）</x:v>
      </x:c>
    </x:row>
    <x:row r="66" ht="30" customHeight="1">
      <x:c r="A66" s="13" t="str">
        <x:v>R061</x:v>
      </x:c>
      <x:c r="B66" s="13" t="str">
        <x:v>标准刻度</x:v>
      </x:c>
      <x:c r="C66" s="13" t="str">
        <x:v>普通</x:v>
      </x:c>
      <x:c r="D66" s="13" t="str">
        <x:v>结算加分</x:v>
      </x:c>
      <x:c r="E66" s="13" t="str">
        <x:v>所有初始抽取且存活的物品，各本回合+1。</x:v>
      </x:c>
      <x:c r="F66" s="13" t="str">
        <x:v>每件1次</x:v>
      </x:c>
      <x:c r="G66" s="13" t="str">
        <x:v>通用</x:v>
      </x:c>
      <x:c r="H66" s="13" t="str">
        <x:v>原创</x:v>
      </x:c>
    </x:row>
    <x:row r="67" ht="38" customHeight="1">
      <x:c r="A67" s="3" t="str">
        <x:v>R062</x:v>
      </x:c>
      <x:c r="B67" s="3" t="str">
        <x:v>新品收据</x:v>
      </x:c>
      <x:c r="C67" s="3" t="str">
        <x:v>普通</x:v>
      </x:c>
      <x:c r="D67" s="3" t="str">
        <x:v>生产事件</x:v>
      </x:c>
      <x:c r="E67" s="3" t="str">
        <x:v>每正常生成1件永久物品，额外记分1。</x:v>
      </x:c>
      <x:c r="F67" s="3" t="str">
        <x:v>每回合最多6分；临时产物、追加生产、变形均不计</x:v>
      </x:c>
      <x:c r="G67" s="3" t="str">
        <x:v>通用</x:v>
      </x:c>
      <x:c r="H67" s="3" t="str">
        <x:v>Receipt（增益!D22）</x:v>
      </x:c>
    </x:row>
    <x:row r="68" ht="30" customHeight="1">
      <x:c r="A68" s="13" t="str">
        <x:v>R063</x:v>
      </x:c>
      <x:c r="B68" s="13" t="str">
        <x:v>圆形徽章</x:v>
      </x:c>
      <x:c r="C68" s="13" t="str">
        <x:v>普通</x:v>
      </x:c>
      <x:c r="D68" s="13" t="str">
        <x:v>结算加分</x:v>
      </x:c>
      <x:c r="E68" s="13" t="str">
        <x:v>标准形状为圆形的存活物品，各本回合+2。</x:v>
      </x:c>
      <x:c r="F68" s="13" t="str">
        <x:v>每件1次</x:v>
      </x:c>
      <x:c r="G68" s="13" t="str">
        <x:v>通用</x:v>
      </x:c>
      <x:c r="H68" s="13" t="str">
        <x:v>原创</x:v>
      </x:c>
    </x:row>
    <x:row r="69" ht="30" customHeight="1">
      <x:c r="A69" s="3" t="str">
        <x:v>R064</x:v>
      </x:c>
      <x:c r="B69" s="3" t="str">
        <x:v>方形徽章</x:v>
      </x:c>
      <x:c r="C69" s="3" t="str">
        <x:v>普通</x:v>
      </x:c>
      <x:c r="D69" s="3" t="str">
        <x:v>结算加分</x:v>
      </x:c>
      <x:c r="E69" s="3" t="str">
        <x:v>标准形状为方形的存活物品，各本回合+2。</x:v>
      </x:c>
      <x:c r="F69" s="3" t="str">
        <x:v>每件1次</x:v>
      </x:c>
      <x:c r="G69" s="3" t="str">
        <x:v>通用</x:v>
      </x:c>
      <x:c r="H69" s="3" t="str">
        <x:v>原创</x:v>
      </x:c>
    </x:row>
    <x:row r="70" ht="30" customHeight="1">
      <x:c r="A70" s="13" t="str">
        <x:v>R065</x:v>
      </x:c>
      <x:c r="B70" s="13" t="str">
        <x:v>混搭布袋</x:v>
      </x:c>
      <x:c r="C70" s="13" t="str">
        <x:v>优秀</x:v>
      </x:c>
      <x:c r="D70" s="13" t="str">
        <x:v>结算加分</x:v>
      </x:c>
      <x:c r="E70" s="13" t="str">
        <x:v>场上至少有4种标准形状时，所有初始抽取且存活的物品，各本回合+2。</x:v>
      </x:c>
      <x:c r="F70" s="13" t="str">
        <x:v>每件1次</x:v>
      </x:c>
      <x:c r="G70" s="13" t="str">
        <x:v>通用</x:v>
      </x:c>
      <x:c r="H70" s="13" t="str">
        <x:v>Disguise（触发器!D77）</x:v>
      </x:c>
    </x:row>
    <x:row r="71" ht="30" customHeight="1">
      <x:c r="A71" s="3" t="str">
        <x:v>R066</x:v>
      </x:c>
      <x:c r="B71" s="3" t="str">
        <x:v>普通奇迹</x:v>
      </x:c>
      <x:c r="C71" s="3" t="str">
        <x:v>优秀</x:v>
      </x:c>
      <x:c r="D71" s="3" t="str">
        <x:v>结算加分</x:v>
      </x:c>
      <x:c r="E71" s="3" t="str">
        <x:v>普通品质且存活的物品，各本回合+3。</x:v>
      </x:c>
      <x:c r="F71" s="3" t="str">
        <x:v>每件1次</x:v>
      </x:c>
      <x:c r="G71" s="3" t="str">
        <x:v>通用</x:v>
      </x:c>
      <x:c r="H71" s="3" t="str">
        <x:v>原创</x:v>
      </x:c>
    </x:row>
    <x:row r="72" ht="30" customHeight="1">
      <x:c r="A72" s="13" t="str">
        <x:v>R067</x:v>
      </x:c>
      <x:c r="B72" s="13" t="str">
        <x:v>孤品展柜</x:v>
      </x:c>
      <x:c r="C72" s="13" t="str">
        <x:v>稀有</x:v>
      </x:c>
      <x:c r="D72" s="13" t="str">
        <x:v>结算倍率</x:v>
      </x:c>
      <x:c r="E72" s="13" t="str">
        <x:v>名称在场上仅出现1次的物品，获得+25%倍率。</x:v>
      </x:c>
      <x:c r="F72" s="13" t="str">
        <x:v>每件1次；牌库里的同名物品不计</x:v>
      </x:c>
      <x:c r="G72" s="13" t="str">
        <x:v>通用</x:v>
      </x:c>
      <x:c r="H72" s="13" t="str">
        <x:v>Deodorant（增益!D47）</x:v>
      </x:c>
    </x:row>
    <x:row r="73" ht="30" customHeight="1">
      <x:c r="A73" s="3" t="str">
        <x:v>R068</x:v>
      </x:c>
      <x:c r="B73" s="3" t="str">
        <x:v>结伴绳结</x:v>
      </x:c>
      <x:c r="C73" s="3" t="str">
        <x:v>优秀</x:v>
      </x:c>
      <x:c r="D73" s="3" t="str">
        <x:v>结算加分</x:v>
      </x:c>
      <x:c r="E73" s="3" t="str">
        <x:v>恰好接触1件其他物品的物品，各本回合+4。</x:v>
      </x:c>
      <x:c r="F73" s="3" t="str">
        <x:v>每件1次</x:v>
      </x:c>
      <x:c r="G73" s="3" t="str">
        <x:v>通用</x:v>
      </x:c>
      <x:c r="H73" s="3" t="str">
        <x:v>原创</x:v>
      </x:c>
    </x:row>
    <x:row r="74" ht="30" customHeight="1">
      <x:c r="A74" s="13" t="str">
        <x:v>R069</x:v>
      </x:c>
      <x:c r="B74" s="13" t="str">
        <x:v>拥挤奖券</x:v>
      </x:c>
      <x:c r="C74" s="13" t="str">
        <x:v>稀有</x:v>
      </x:c>
      <x:c r="D74" s="13" t="str">
        <x:v>结算加分</x:v>
      </x:c>
      <x:c r="E74" s="13" t="str">
        <x:v>场上至少有24件物品时，本回合生成且存活的物品，各本回合+2。</x:v>
      </x:c>
      <x:c r="F74" s="13" t="str">
        <x:v>每件1次；永久和临时产物都计</x:v>
      </x:c>
      <x:c r="G74" s="13" t="str">
        <x:v>通用</x:v>
      </x:c>
      <x:c r="H74" s="13" t="str">
        <x:v>原创</x:v>
      </x:c>
    </x:row>
    <x:row r="75" ht="30" customHeight="1">
      <x:c r="A75" s="3" t="str">
        <x:v>R070</x:v>
      </x:c>
      <x:c r="B75" s="3" t="str">
        <x:v>精选名册</x:v>
      </x:c>
      <x:c r="C75" s="3" t="str">
        <x:v>稀有</x:v>
      </x:c>
      <x:c r="D75" s="3" t="str">
        <x:v>结算倍率</x:v>
      </x:c>
      <x:c r="E75" s="3" t="str">
        <x:v>场上不超过12件物品时，所有存活物品获得+25%倍率。</x:v>
      </x:c>
      <x:c r="F75" s="3" t="str">
        <x:v>每件1次；不修改初始抽取规则</x:v>
      </x:c>
      <x:c r="G75" s="3" t="str">
        <x:v>通用</x:v>
      </x:c>
      <x:c r="H75" s="3" t="str">
        <x:v>Deodorant（增益!D47）</x:v>
      </x:c>
    </x:row>
    <x:row r="76" ht="30" customHeight="1">
      <x:c r="A76" s="13" t="str">
        <x:v>R071</x:v>
      </x:c>
      <x:c r="B76" s="13" t="str">
        <x:v>首遇礼物</x:v>
      </x:c>
      <x:c r="C76" s="13" t="str">
        <x:v>普通</x:v>
      </x:c>
      <x:c r="D76" s="13" t="str">
        <x:v>接触</x:v>
      </x:c>
      <x:c r="E76" s="13" t="str">
        <x:v>初始抽取物品首次接触其他实例时，自己本回合+1。</x:v>
      </x:c>
      <x:c r="F76" s="13" t="str">
        <x:v>每初始实例1次</x:v>
      </x:c>
      <x:c r="G76" s="13" t="str">
        <x:v>通用</x:v>
      </x:c>
      <x:c r="H76" s="13" t="str">
        <x:v>原创</x:v>
      </x:c>
    </x:row>
    <x:row r="77" ht="30" customHeight="1">
      <x:c r="A77" s="3" t="str">
        <x:v>R072</x:v>
      </x:c>
      <x:c r="B77" s="3" t="str">
        <x:v>最后一页</x:v>
      </x:c>
      <x:c r="C77" s="3" t="str">
        <x:v>稀有</x:v>
      </x:c>
      <x:c r="D77" s="3" t="str">
        <x:v>结算加分</x:v>
      </x:c>
      <x:c r="E77" s="3" t="str">
        <x:v>每5回合中的第5回合，所有初始抽取且存活的物品，各本回合+3。</x:v>
      </x:c>
      <x:c r="F77" s="3" t="str">
        <x:v>每件1次；不改变目标检查时机</x:v>
      </x:c>
      <x:c r="G77" s="3" t="str">
        <x:v>通用</x:v>
      </x:c>
      <x:c r="H77" s="3" t="str">
        <x:v>Winner's Cup（增益!D30）</x:v>
      </x:c>
    </x:row>
    <x:row r="78" ht="30" customHeight="1">
      <x:c r="A78" s="13" t="str">
        <x:v>R073</x:v>
      </x:c>
      <x:c r="B78" s="13" t="str">
        <x:v>开场序曲</x:v>
      </x:c>
      <x:c r="C78" s="13" t="str">
        <x:v>优秀</x:v>
      </x:c>
      <x:c r="D78" s="13" t="str">
        <x:v>结算加分</x:v>
      </x:c>
      <x:c r="E78" s="13" t="str">
        <x:v>每5回合中的第1回合，所有初始抽取且存活的物品，各本回合+3。</x:v>
      </x:c>
      <x:c r="F78" s="13" t="str">
        <x:v>每件1次</x:v>
      </x:c>
      <x:c r="G78" s="13" t="str">
        <x:v>通用</x:v>
      </x:c>
      <x:c r="H78" s="13" t="str">
        <x:v>原创</x:v>
      </x:c>
    </x:row>
    <x:row r="79" ht="30" customHeight="1">
      <x:c r="A79" s="3" t="str">
        <x:v>R074</x:v>
      </x:c>
      <x:c r="B79" s="3" t="str">
        <x:v>广交朋友</x:v>
      </x:c>
      <x:c r="C79" s="3" t="str">
        <x:v>优秀</x:v>
      </x:c>
      <x:c r="D79" s="3" t="str">
        <x:v>结算加分</x:v>
      </x:c>
      <x:c r="E79" s="3" t="str">
        <x:v>本回合接触过至少5个不同实例的存活物品，各本回合+3。</x:v>
      </x:c>
      <x:c r="F79" s="3" t="str">
        <x:v>每件1次；不检查摇晃力度</x:v>
      </x:c>
      <x:c r="G79" s="3" t="str">
        <x:v>通用</x:v>
      </x:c>
      <x:c r="H79" s="3" t="str">
        <x:v>原创</x:v>
      </x:c>
    </x:row>
    <x:row r="80" ht="30" customHeight="1">
      <x:c r="A80" s="13" t="str">
        <x:v>R075</x:v>
      </x:c>
      <x:c r="B80" s="13" t="str">
        <x:v>熟面孔</x:v>
      </x:c>
      <x:c r="C80" s="13" t="str">
        <x:v>优秀</x:v>
      </x:c>
      <x:c r="D80" s="13" t="str">
        <x:v>结算加分</x:v>
      </x:c>
      <x:c r="E80" s="13" t="str">
        <x:v>本回合接触过至少2件与自己同名物品的存活物品，各本回合+4。</x:v>
      </x:c>
      <x:c r="F80" s="13" t="str">
        <x:v>每件1次</x:v>
      </x:c>
      <x:c r="G80" s="13" t="str">
        <x:v>通用</x:v>
      </x:c>
      <x:c r="H80" s="13" t="str">
        <x:v>Clover（触发器!D40）</x:v>
      </x:c>
    </x:row>
    <x:row r="81" ht="30" customHeight="1">
      <x:c r="A81" s="3" t="str">
        <x:v>R076</x:v>
      </x:c>
      <x:c r="B81" s="3" t="str">
        <x:v>收官红利</x:v>
      </x:c>
      <x:c r="C81" s="3" t="str">
        <x:v>史诗</x:v>
      </x:c>
      <x:c r="D81" s="3" t="str">
        <x:v>结算末</x:v>
      </x:c>
      <x:c r="E81" s="3" t="str">
        <x:v>本回合事件记分E至少为30时，再记分15。</x:v>
      </x:c>
      <x:c r="F81" s="3" t="str">
        <x:v>每回合1次；自身15分不计入条件</x:v>
      </x:c>
      <x:c r="G81" s="3" t="str">
        <x:v>通用</x:v>
      </x:c>
      <x:c r="H81" s="3" t="str">
        <x:v>原创</x:v>
      </x:c>
    </x:row>
    <x:row r="82" ht="30" customHeight="1">
      <x:c r="A82" s="13" t="str">
        <x:v>R077</x:v>
      </x:c>
      <x:c r="B82" s="13" t="str">
        <x:v>成长档案</x:v>
      </x:c>
      <x:c r="C82" s="13" t="str">
        <x:v>稀有</x:v>
      </x:c>
      <x:c r="D82" s="13" t="str">
        <x:v>结算末</x:v>
      </x:c>
      <x:c r="E82" s="13" t="str">
        <x:v>本回合至少3个不同实例成功获得永久基础分成长时，额外记分12。</x:v>
      </x:c>
      <x:c r="F82" s="13" t="str">
        <x:v>每回合1次；变形不视为基础分成长</x:v>
      </x:c>
      <x:c r="G82" s="13" t="str">
        <x:v>通用</x:v>
      </x:c>
      <x:c r="H82" s="13" t="str">
        <x:v>Growth Serum（增益!D52）</x:v>
      </x:c>
    </x:row>
    <x:row r="83" ht="38" customHeight="1">
      <x:c r="A83" s="3" t="str">
        <x:v>R078</x:v>
      </x:c>
      <x:c r="B83" s="3" t="str">
        <x:v>均衡阵容</x:v>
      </x:c>
      <x:c r="C83" s="3" t="str">
        <x:v>稀有</x:v>
      </x:c>
      <x:c r="D83" s="3" t="str">
        <x:v>结算加分</x:v>
      </x:c>
      <x:c r="E83" s="3" t="str">
        <x:v>初始抽取且存活的物品覆盖至少6个主流派，且任一主流派不超过4件时，它们各本回合+3。</x:v>
      </x:c>
      <x:c r="F83" s="3" t="str">
        <x:v>只统计初始抽取物品</x:v>
      </x:c>
      <x:c r="G83" s="3" t="str">
        <x:v>通用</x:v>
      </x:c>
      <x:c r="H83" s="3" t="str">
        <x:v>原创</x:v>
      </x:c>
    </x:row>
    <x:row r="84" ht="30" customHeight="1">
      <x:c r="A84" s="13" t="str">
        <x:v>R079</x:v>
      </x:c>
      <x:c r="B84" s="13" t="str">
        <x:v>邻里公约</x:v>
      </x:c>
      <x:c r="C84" s="13" t="str">
        <x:v>稀有</x:v>
      </x:c>
      <x:c r="D84" s="13" t="str">
        <x:v>结算倍率</x:v>
      </x:c>
      <x:c r="E84" s="13" t="str">
        <x:v>恰好接触2个其他实例、且这两个实例主流派不同的物品，获得+25%倍率。</x:v>
      </x:c>
      <x:c r="F84" s="13" t="str">
        <x:v>每件1次</x:v>
      </x:c>
      <x:c r="G84" s="13" t="str">
        <x:v>通用</x:v>
      </x:c>
      <x:c r="H84" s="13" t="str">
        <x:v>原创</x:v>
      </x:c>
    </x:row>
    <x:row r="85" ht="38" customHeight="1">
      <x:c r="A85" s="3" t="str">
        <x:v>R080</x:v>
      </x:c>
      <x:c r="B85" s="3" t="str">
        <x:v>接触见证</x:v>
      </x:c>
      <x:c r="C85" s="3" t="str">
        <x:v>史诗</x:v>
      </x:c>
      <x:c r="D85" s="3" t="str">
        <x:v>结算加分</x:v>
      </x:c>
      <x:c r="E85" s="3" t="str">
        <x:v>本回合发生过消耗、生产、增值三类成功事件时，所有初始抽取且存活的物品，各本回合+4。</x:v>
      </x:c>
      <x:c r="F85" s="3" t="str">
        <x:v>每件1次；变形不算消耗或生产</x:v>
      </x:c>
      <x:c r="G85" s="3" t="str">
        <x:v>通用</x:v>
      </x:c>
      <x:c r="H85" s="3" t="str">
        <x:v>原创</x:v>
      </x:c>
    </x:row>
  </x:sheetData>
  <x:conditionalFormatting sqref="C6:C85">
    <x:cfRule type="containsText" dxfId="3" priority="1" operator="containsText" text="稀有"/>
    <x:cfRule type="containsText" dxfId="4" priority="2" operator="containsText" text="史诗"/>
    <x:cfRule type="containsText" dxfId="5" priority="3" operator="containsText" text="优秀"/>
  </x:conditionalFormatting>
  <x:pageMargins left="0.7" right="0.7" top="0.75" bottom="0.75" header="0.3" footer="0.3"/>
  <x:tableParts count="1">
    <x:tablePart xmlns:r="http://schemas.openxmlformats.org/officeDocument/2006/relationships" r:id="R6bffcef5dcca4894"/>
  </x:tableParts>
</x:worksheet>
</file>

<file path=xl/worksheets/sheet3.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8" hidden="0" customWidth="1"/>
    <x:col min="2" max="2" width="17" hidden="0" customWidth="1"/>
    <x:col min="3" max="3" width="9" hidden="0" customWidth="1"/>
    <x:col min="4" max="4" width="9" hidden="0" customWidth="1"/>
    <x:col min="5" max="5" width="58" hidden="0" customWidth="1"/>
    <x:col min="6" max="6" width="42" hidden="0" customWidth="1"/>
    <x:col min="7" max="7" width="34" hidden="0" customWidth="1"/>
    <x:col min="8" max="8" width="10" hidden="0" customWidth="1"/>
    <x:col min="9" max="9" width="27" hidden="0" customWidth="1"/>
    <x:col min="10" max="10" width="15" hidden="0" customWidth="1"/>
    <x:col min="11" max="11" width="13" hidden="0" customWidth="1"/>
    <x:col min="12" max="12" width="42" hidden="0" customWidth="1"/>
  </x:cols>
  <x:sheetData>
    <x:row r="1">
      <x:c r="A1" s="3"/>
      <x:c r="B1" s="3"/>
      <x:c r="C1" s="3"/>
      <x:c r="D1" s="3"/>
      <x:c r="E1" s="3"/>
      <x:c r="F1" s="3"/>
      <x:c r="G1" s="3"/>
      <x:c r="H1" s="3"/>
      <x:c r="I1" s="3"/>
      <x:c r="J1" s="3"/>
      <x:c r="K1" s="3"/>
      <x:c r="L1" s="3"/>
    </x:row>
    <x:row r="2">
      <x:c r="A2" s="6" t="str">
        <x:v>产物与进阶 · V2</x:v>
      </x:c>
      <x:c r="B2" s="7"/>
      <x:c r="C2" s="7"/>
      <x:c r="D2" s="7"/>
      <x:c r="E2" s="7"/>
      <x:c r="F2" s="7"/>
      <x:c r="G2" s="7"/>
      <x:c r="H2" s="7"/>
      <x:c r="I2" s="7"/>
      <x:c r="J2" s="7"/>
      <x:c r="K2" s="7"/>
      <x:c r="L2" s="7"/>
    </x:row>
    <x:row r="3">
      <x:c r="A3" s="8" t="str">
        <x:v>22种永久生成产物＋3种永久进阶＋7种临时产物；均不进入常规三选一。</x:v>
      </x:c>
      <x:c r="B3" s="7"/>
      <x:c r="C3" s="7"/>
      <x:c r="D3" s="7"/>
      <x:c r="E3" s="7"/>
      <x:c r="F3" s="7"/>
      <x:c r="G3" s="7"/>
      <x:c r="H3" s="7"/>
      <x:c r="I3" s="7"/>
      <x:c r="J3" s="7"/>
      <x:c r="K3" s="7"/>
      <x:c r="L3" s="7"/>
    </x:row>
    <x:row r="4">
      <x:c r="A4" s="9"/>
      <x:c r="B4" s="9"/>
      <x:c r="C4" s="9"/>
      <x:c r="D4" s="9"/>
      <x:c r="E4" s="9"/>
      <x:c r="F4" s="9"/>
      <x:c r="G4" s="9"/>
      <x:c r="H4" s="9"/>
      <x:c r="I4" s="9"/>
      <x:c r="J4" s="9"/>
      <x:c r="K4" s="9"/>
      <x:c r="L4" s="9"/>
    </x:row>
    <x:row r="5" ht="30" customHeight="1">
      <x:c r="A5" s="12" t="str">
        <x:v>ID</x:v>
      </x:c>
      <x:c r="B5" s="12" t="str">
        <x:v>名称</x:v>
      </x:c>
      <x:c r="C5" s="12" t="str">
        <x:v>品质</x:v>
      </x:c>
      <x:c r="D5" s="12" t="str">
        <x:v>基础分</x:v>
      </x:c>
      <x:c r="E5" s="12" t="str">
        <x:v>能力</x:v>
      </x:c>
      <x:c r="F5" s="12" t="str">
        <x:v>来源</x:v>
      </x:c>
      <x:c r="G5" s="12" t="str">
        <x:v>存续</x:v>
      </x:c>
      <x:c r="H5" s="12" t="str">
        <x:v>主流派</x:v>
      </x:c>
      <x:c r="I5" s="12" t="str">
        <x:v>标签</x:v>
      </x:c>
      <x:c r="J5" s="12" t="str">
        <x:v>外观形状</x:v>
      </x:c>
      <x:c r="K5" s="12" t="str">
        <x:v>标准形状</x:v>
      </x:c>
      <x:c r="L5" s="12" t="str">
        <x:v>原表参考</x:v>
      </x:c>
    </x:row>
    <x:row r="6" ht="30" customHeight="1">
      <x:c r="A6" s="13" t="str">
        <x:v>P001</x:v>
      </x:c>
      <x:c r="B6" s="13" t="str">
        <x:v>热餐</x:v>
      </x:c>
      <x:c r="C6" s="13" t="str">
        <x:v>稀有</x:v>
      </x:c>
      <x:c r="D6" s="14" t="n">
        <x:v>8</x:v>
      </x:c>
      <x:c r="E6" s="13" t="str">
        <x:v>无额外能力。</x:v>
      </x:c>
      <x:c r="F6" s="13" t="str">
        <x:v>平底锅</x:v>
      </x:c>
      <x:c r="G6" s="13" t="str">
        <x:v>永久；保留在牌库，下回合可抽到</x:v>
      </x:c>
      <x:c r="H6" s="13" t="str">
        <x:v>烹饪</x:v>
      </x:c>
      <x:c r="I6" s="13" t="str">
        <x:v>食物、餐食、商品</x:v>
      </x:c>
      <x:c r="J6" s="13" t="str">
        <x:v>扁圆形</x:v>
      </x:c>
      <x:c r="K6" s="13" t="str">
        <x:v>圆形</x:v>
      </x:c>
      <x:c r="L6" s="13" t="str">
        <x:v>Chef's Pan（触发器!D39）</x:v>
      </x:c>
    </x:row>
    <x:row r="7" ht="30" customHeight="1">
      <x:c r="A7" s="3" t="str">
        <x:v>P002</x:v>
      </x:c>
      <x:c r="B7" s="3" t="str">
        <x:v>烤吐司</x:v>
      </x:c>
      <x:c r="C7" s="3" t="str">
        <x:v>优秀</x:v>
      </x:c>
      <x:c r="D7" s="15" t="n">
        <x:v>7</x:v>
      </x:c>
      <x:c r="E7" s="3" t="str">
        <x:v>被烹饪物品消耗时，额外记分3；同一实例每回合1次。</x:v>
      </x:c>
      <x:c r="F7" s="3" t="str">
        <x:v>烤面包架</x:v>
      </x:c>
      <x:c r="G7" s="3" t="str">
        <x:v>永久；保留在牌库，下回合可抽到</x:v>
      </x:c>
      <x:c r="H7" s="3" t="str">
        <x:v>烹饪</x:v>
      </x:c>
      <x:c r="I7" s="3" t="str">
        <x:v>食物、餐食、商品</x:v>
      </x:c>
      <x:c r="J7" s="3" t="str">
        <x:v>圆角方形</x:v>
      </x:c>
      <x:c r="K7" s="3" t="str">
        <x:v>方形</x:v>
      </x:c>
      <x:c r="L7" s="3" t="str">
        <x:v>Bread（触发器!D6）</x:v>
      </x:c>
    </x:row>
    <x:row r="8" ht="30" customHeight="1">
      <x:c r="A8" s="13" t="str">
        <x:v>P003</x:v>
      </x:c>
      <x:c r="B8" s="13" t="str">
        <x:v>水珠</x:v>
      </x:c>
      <x:c r="C8" s="13" t="str">
        <x:v>普通</x:v>
      </x:c>
      <x:c r="D8" s="14" t="n">
        <x:v>1</x:v>
      </x:c>
      <x:c r="E8" s="13" t="str">
        <x:v>无额外能力。</x:v>
      </x:c>
      <x:c r="F8" s="13" t="str">
        <x:v>雨云、泉眼、冰块、遗物雨水桶、遗物冷凝管</x:v>
      </x:c>
      <x:c r="G8" s="13" t="str">
        <x:v>永久；保留在牌库，下回合可抽到</x:v>
      </x:c>
      <x:c r="H8" s="13" t="str">
        <x:v>元素</x:v>
      </x:c>
      <x:c r="I8" s="13" t="str">
        <x:v>水元素</x:v>
      </x:c>
      <x:c r="J8" s="13" t="str">
        <x:v>圆形</x:v>
      </x:c>
      <x:c r="K8" s="13" t="str">
        <x:v>圆形</x:v>
      </x:c>
      <x:c r="L8" s="13" t="str">
        <x:v>Ice Cubes（触发器!D16）；Lake（触发器!D49）</x:v>
      </x:c>
    </x:row>
    <x:row r="9" ht="30" customHeight="1">
      <x:c r="A9" s="3" t="str">
        <x:v>P004</x:v>
      </x:c>
      <x:c r="B9" s="3" t="str">
        <x:v>嫩芽</x:v>
      </x:c>
      <x:c r="C9" s="3" t="str">
        <x:v>优秀</x:v>
      </x:c>
      <x:c r="D9" s="15" t="n">
        <x:v>4</x:v>
      </x:c>
      <x:c r="E9" s="3" t="str">
        <x:v>结算时接触其他植物，自己本回合+2。</x:v>
      </x:c>
      <x:c r="F9" s="3" t="str">
        <x:v>幼苗原地永久变形</x:v>
      </x:c>
      <x:c r="G9" s="3" t="str">
        <x:v>永久；保留在牌库，下回合可抽到</x:v>
      </x:c>
      <x:c r="H9" s="3" t="str">
        <x:v>种植</x:v>
      </x:c>
      <x:c r="I9" s="3" t="str">
        <x:v>植物、成长</x:v>
      </x:c>
      <x:c r="J9" s="3" t="str">
        <x:v>小三角形</x:v>
      </x:c>
      <x:c r="K9" s="3" t="str">
        <x:v>三角形</x:v>
      </x:c>
      <x:c r="L9" s="3" t="str">
        <x:v>Seedling（触发器!D24）</x:v>
      </x:c>
    </x:row>
    <x:row r="10" ht="30" customHeight="1">
      <x:c r="A10" s="13" t="str">
        <x:v>P005</x:v>
      </x:c>
      <x:c r="B10" s="13" t="str">
        <x:v>葡萄</x:v>
      </x:c>
      <x:c r="C10" s="13" t="str">
        <x:v>普通</x:v>
      </x:c>
      <x:c r="D10" s="14" t="n">
        <x:v>2</x:v>
      </x:c>
      <x:c r="E10" s="13" t="str">
        <x:v>无额外能力。</x:v>
      </x:c>
      <x:c r="F10" s="13" t="str">
        <x:v>葡萄藤</x:v>
      </x:c>
      <x:c r="G10" s="13" t="str">
        <x:v>永久；保留在牌库，下回合可抽到</x:v>
      </x:c>
      <x:c r="H10" s="13" t="str">
        <x:v>种植</x:v>
      </x:c>
      <x:c r="I10" s="13" t="str">
        <x:v>植物、食物、食材、商品</x:v>
      </x:c>
      <x:c r="J10" s="13" t="str">
        <x:v>圆形</x:v>
      </x:c>
      <x:c r="K10" s="13" t="str">
        <x:v>圆形</x:v>
      </x:c>
      <x:c r="L10" s="13" t="str">
        <x:v>Grape Vine（触发器!D44）</x:v>
      </x:c>
    </x:row>
    <x:row r="11" ht="30" customHeight="1">
      <x:c r="A11" s="3" t="str">
        <x:v>P006</x:v>
      </x:c>
      <x:c r="B11" s="3" t="str">
        <x:v>苹果</x:v>
      </x:c>
      <x:c r="C11" s="3" t="str">
        <x:v>普通</x:v>
      </x:c>
      <x:c r="D11" s="15" t="n">
        <x:v>3</x:v>
      </x:c>
      <x:c r="E11" s="3" t="str">
        <x:v>无额外能力。</x:v>
      </x:c>
      <x:c r="F11" s="3" t="str">
        <x:v>果树</x:v>
      </x:c>
      <x:c r="G11" s="3" t="str">
        <x:v>永久；保留在牌库，下回合可抽到</x:v>
      </x:c>
      <x:c r="H11" s="3" t="str">
        <x:v>种植</x:v>
      </x:c>
      <x:c r="I11" s="3" t="str">
        <x:v>植物、食物、食材、商品</x:v>
      </x:c>
      <x:c r="J11" s="3" t="str">
        <x:v>圆形</x:v>
      </x:c>
      <x:c r="K11" s="3" t="str">
        <x:v>圆形</x:v>
      </x:c>
      <x:c r="L11" s="3" t="str">
        <x:v>Tree（触发器!D28）</x:v>
      </x:c>
    </x:row>
    <x:row r="12" ht="30" customHeight="1">
      <x:c r="A12" s="13" t="str">
        <x:v>P007</x:v>
      </x:c>
      <x:c r="B12" s="13" t="str">
        <x:v>蜂蜜</x:v>
      </x:c>
      <x:c r="C12" s="13" t="str">
        <x:v>优秀</x:v>
      </x:c>
      <x:c r="D12" s="14" t="n">
        <x:v>5</x:v>
      </x:c>
      <x:c r="E12" s="13" t="str">
        <x:v>无额外能力。</x:v>
      </x:c>
      <x:c r="F12" s="13" t="str">
        <x:v>蜜蜂</x:v>
      </x:c>
      <x:c r="G12" s="13" t="str">
        <x:v>永久；保留在牌库，下回合可抽到</x:v>
      </x:c>
      <x:c r="H12" s="13" t="str">
        <x:v>种植</x:v>
      </x:c>
      <x:c r="I12" s="13" t="str">
        <x:v>食物、食材、商品</x:v>
      </x:c>
      <x:c r="J12" s="13" t="str">
        <x:v>水滴形</x:v>
      </x:c>
      <x:c r="K12" s="13" t="str">
        <x:v>不规则形</x:v>
      </x:c>
      <x:c r="L12" s="13" t="str">
        <x:v>原创</x:v>
      </x:c>
    </x:row>
    <x:row r="13" ht="30" customHeight="1">
      <x:c r="A13" s="3" t="str">
        <x:v>P008</x:v>
      </x:c>
      <x:c r="B13" s="3" t="str">
        <x:v>蛋</x:v>
      </x:c>
      <x:c r="C13" s="3" t="str">
        <x:v>普通</x:v>
      </x:c>
      <x:c r="D13" s="15" t="n">
        <x:v>2</x:v>
      </x:c>
      <x:c r="E13" s="3" t="str">
        <x:v>无额外能力。</x:v>
      </x:c>
      <x:c r="F13" s="3" t="str">
        <x:v>鸟巢、母鸡</x:v>
      </x:c>
      <x:c r="G13" s="3" t="str">
        <x:v>永久；保留在牌库，下回合可抽到</x:v>
      </x:c>
      <x:c r="H13" s="3" t="str">
        <x:v>牧场</x:v>
      </x:c>
      <x:c r="I13" s="3" t="str">
        <x:v>牧场、食物、食材、商品</x:v>
      </x:c>
      <x:c r="J13" s="3" t="str">
        <x:v>椭圆形</x:v>
      </x:c>
      <x:c r="K13" s="3" t="str">
        <x:v>不规则形</x:v>
      </x:c>
      <x:c r="L13" s="3" t="str">
        <x:v>Nest（触发器!D20）；Chicken（触发器!D71）</x:v>
      </x:c>
    </x:row>
    <x:row r="14" ht="30" customHeight="1">
      <x:c r="A14" s="13" t="str">
        <x:v>P009</x:v>
      </x:c>
      <x:c r="B14" s="13" t="str">
        <x:v>牛奶</x:v>
      </x:c>
      <x:c r="C14" s="13" t="str">
        <x:v>优秀</x:v>
      </x:c>
      <x:c r="D14" s="14" t="n">
        <x:v>5</x:v>
      </x:c>
      <x:c r="E14" s="13" t="str">
        <x:v>无额外能力。</x:v>
      </x:c>
      <x:c r="F14" s="13" t="str">
        <x:v>奶牛</x:v>
      </x:c>
      <x:c r="G14" s="13" t="str">
        <x:v>永久；保留在牌库，下回合可抽到</x:v>
      </x:c>
      <x:c r="H14" s="13" t="str">
        <x:v>牧场</x:v>
      </x:c>
      <x:c r="I14" s="13" t="str">
        <x:v>食物、食材、商品</x:v>
      </x:c>
      <x:c r="J14" s="13" t="str">
        <x:v>胶囊形</x:v>
      </x:c>
      <x:c r="K14" s="13" t="str">
        <x:v>长条形</x:v>
      </x:c>
      <x:c r="L14" s="13" t="str">
        <x:v>原创</x:v>
      </x:c>
    </x:row>
    <x:row r="15" ht="30" customHeight="1">
      <x:c r="A15" s="3" t="str">
        <x:v>P010</x:v>
      </x:c>
      <x:c r="B15" s="3" t="str">
        <x:v>羊毛</x:v>
      </x:c>
      <x:c r="C15" s="3" t="str">
        <x:v>优秀</x:v>
      </x:c>
      <x:c r="D15" s="15" t="n">
        <x:v>4</x:v>
      </x:c>
      <x:c r="E15" s="3" t="str">
        <x:v>无额外能力。</x:v>
      </x:c>
      <x:c r="F15" s="3" t="str">
        <x:v>绵羊</x:v>
      </x:c>
      <x:c r="G15" s="3" t="str">
        <x:v>永久；保留在牌库，下回合可抽到</x:v>
      </x:c>
      <x:c r="H15" s="3" t="str">
        <x:v>牧场</x:v>
      </x:c>
      <x:c r="I15" s="3" t="str">
        <x:v>牧场、消耗材料、商品</x:v>
      </x:c>
      <x:c r="J15" s="3" t="str">
        <x:v>云朵形</x:v>
      </x:c>
      <x:c r="K15" s="3" t="str">
        <x:v>不规则形</x:v>
      </x:c>
      <x:c r="L15" s="3" t="str">
        <x:v>原创</x:v>
      </x:c>
    </x:row>
    <x:row r="16" ht="30" customHeight="1">
      <x:c r="A16" s="13" t="str">
        <x:v>P011</x:v>
      </x:c>
      <x:c r="B16" s="13" t="str">
        <x:v>雏鸟</x:v>
      </x:c>
      <x:c r="C16" s="13" t="str">
        <x:v>优秀</x:v>
      </x:c>
      <x:c r="D16" s="14" t="n">
        <x:v>6</x:v>
      </x:c>
      <x:c r="E16" s="13" t="str">
        <x:v>无额外能力。</x:v>
      </x:c>
      <x:c r="F16" s="13" t="str">
        <x:v>孵化器</x:v>
      </x:c>
      <x:c r="G16" s="13" t="str">
        <x:v>永久；保留在牌库，下回合可抽到</x:v>
      </x:c>
      <x:c r="H16" s="13" t="str">
        <x:v>牧场</x:v>
      </x:c>
      <x:c r="I16" s="13" t="str">
        <x:v>动物</x:v>
      </x:c>
      <x:c r="J16" s="13" t="str">
        <x:v>水滴形</x:v>
      </x:c>
      <x:c r="K16" s="13" t="str">
        <x:v>不规则形</x:v>
      </x:c>
      <x:c r="L16" s="13" t="str">
        <x:v>Chicken（触发器!D71）</x:v>
      </x:c>
    </x:row>
    <x:row r="17" ht="30" customHeight="1">
      <x:c r="A17" s="3" t="str">
        <x:v>P012</x:v>
      </x:c>
      <x:c r="B17" s="3" t="str">
        <x:v>彩翼蝶</x:v>
      </x:c>
      <x:c r="C17" s="3" t="str">
        <x:v>稀有</x:v>
      </x:c>
      <x:c r="D17" s="15" t="n">
        <x:v>5</x:v>
      </x:c>
      <x:c r="E17" s="3" t="str">
        <x:v>接触植物时，使其本回合+3；每目标1次，每回合最多3件。</x:v>
      </x:c>
      <x:c r="F17" s="3" t="str">
        <x:v>毛虫原地永久变形</x:v>
      </x:c>
      <x:c r="G17" s="3" t="str">
        <x:v>永久；保留在牌库，下回合可抽到</x:v>
      </x:c>
      <x:c r="H17" s="3" t="str">
        <x:v>牧场</x:v>
      </x:c>
      <x:c r="I17" s="3" t="str">
        <x:v>动物、植物辅助</x:v>
      </x:c>
      <x:c r="J17" s="3" t="str">
        <x:v>蝴蝶形</x:v>
      </x:c>
      <x:c r="K17" s="3" t="str">
        <x:v>不规则形</x:v>
      </x:c>
      <x:c r="L17" s="3" t="str">
        <x:v>Butterfly（触发器!D105）</x:v>
      </x:c>
    </x:row>
    <x:row r="18" ht="30" customHeight="1">
      <x:c r="A18" s="13" t="str">
        <x:v>P013</x:v>
      </x:c>
      <x:c r="B18" s="13" t="str">
        <x:v>小石子</x:v>
      </x:c>
      <x:c r="C18" s="13" t="str">
        <x:v>普通</x:v>
      </x:c>
      <x:c r="D18" s="14" t="n">
        <x:v>1</x:v>
      </x:c>
      <x:c r="E18" s="13" t="str">
        <x:v>无额外能力。</x:v>
      </x:c>
      <x:c r="F18" s="13" t="str">
        <x:v>采石袋、矿工镐</x:v>
      </x:c>
      <x:c r="G18" s="13" t="str">
        <x:v>永久；保留在牌库，下回合可抽到</x:v>
      </x:c>
      <x:c r="H18" s="13" t="str">
        <x:v>矿业</x:v>
      </x:c>
      <x:c r="I18" s="13" t="str">
        <x:v>矿石</x:v>
      </x:c>
      <x:c r="J18" s="13" t="str">
        <x:v>多边形</x:v>
      </x:c>
      <x:c r="K18" s="13" t="str">
        <x:v>不规则形</x:v>
      </x:c>
      <x:c r="L18" s="13" t="str">
        <x:v>Cairn（触发器!D34）</x:v>
      </x:c>
    </x:row>
    <x:row r="19" ht="30" customHeight="1">
      <x:c r="A19" s="3" t="str">
        <x:v>P014</x:v>
      </x:c>
      <x:c r="B19" s="3" t="str">
        <x:v>晶屑</x:v>
      </x:c>
      <x:c r="C19" s="3" t="str">
        <x:v>优秀</x:v>
      </x:c>
      <x:c r="D19" s="15" t="n">
        <x:v>4</x:v>
      </x:c>
      <x:c r="E19" s="3" t="str">
        <x:v>无额外能力；宝石原胚生成的晶屑基础分为8。</x:v>
      </x:c>
      <x:c r="F19" s="3" t="str">
        <x:v>碎石机、宝石原胚、宝箱</x:v>
      </x:c>
      <x:c r="G19" s="3" t="str">
        <x:v>永久；保留在牌库，下回合可抽到</x:v>
      </x:c>
      <x:c r="H19" s="3" t="str">
        <x:v>矿业</x:v>
      </x:c>
      <x:c r="I19" s="3" t="str">
        <x:v>宝石、商品</x:v>
      </x:c>
      <x:c r="J19" s="3" t="str">
        <x:v>菱形</x:v>
      </x:c>
      <x:c r="K19" s="3" t="str">
        <x:v>不规则形</x:v>
      </x:c>
      <x:c r="L19" s="3" t="str">
        <x:v>Gem Mine（触发器!D79）</x:v>
      </x:c>
    </x:row>
    <x:row r="20" ht="30" customHeight="1">
      <x:c r="A20" s="13" t="str">
        <x:v>P015</x:v>
      </x:c>
      <x:c r="B20" s="13" t="str">
        <x:v>金砂</x:v>
      </x:c>
      <x:c r="C20" s="13" t="str">
        <x:v>优秀</x:v>
      </x:c>
      <x:c r="D20" s="14" t="n">
        <x:v>4</x:v>
      </x:c>
      <x:c r="E20" s="13" t="str">
        <x:v>无额外能力。</x:v>
      </x:c>
      <x:c r="F20" s="13" t="str">
        <x:v>碎石机</x:v>
      </x:c>
      <x:c r="G20" s="13" t="str">
        <x:v>永久；保留在牌库，下回合可抽到</x:v>
      </x:c>
      <x:c r="H20" s="13" t="str">
        <x:v>矿业</x:v>
      </x:c>
      <x:c r="I20" s="13" t="str">
        <x:v>矿石、金属、货币、商品</x:v>
      </x:c>
      <x:c r="J20" s="13" t="str">
        <x:v>小圆形</x:v>
      </x:c>
      <x:c r="K20" s="13" t="str">
        <x:v>圆形</x:v>
      </x:c>
      <x:c r="L20" s="13" t="str">
        <x:v>Rock Crusher（触发器!D92）</x:v>
      </x:c>
    </x:row>
    <x:row r="21" ht="30" customHeight="1">
      <x:c r="A21" s="3" t="str">
        <x:v>P016</x:v>
      </x:c>
      <x:c r="B21" s="3" t="str">
        <x:v>金属锭</x:v>
      </x:c>
      <x:c r="C21" s="3" t="str">
        <x:v>稀有</x:v>
      </x:c>
      <x:c r="D21" s="15" t="n">
        <x:v>10</x:v>
      </x:c>
      <x:c r="E21" s="3" t="str">
        <x:v>无额外能力。</x:v>
      </x:c>
      <x:c r="F21" s="3" t="str">
        <x:v>熔炉</x:v>
      </x:c>
      <x:c r="G21" s="3" t="str">
        <x:v>永久；保留在牌库，下回合可抽到</x:v>
      </x:c>
      <x:c r="H21" s="3" t="str">
        <x:v>矿业</x:v>
      </x:c>
      <x:c r="I21" s="3" t="str">
        <x:v>金属、商品</x:v>
      </x:c>
      <x:c r="J21" s="3" t="str">
        <x:v>梯形</x:v>
      </x:c>
      <x:c r="K21" s="3" t="str">
        <x:v>不规则形</x:v>
      </x:c>
      <x:c r="L21" s="3" t="str">
        <x:v>Kiln（触发器!D83）</x:v>
      </x:c>
    </x:row>
    <x:row r="22" ht="30" customHeight="1">
      <x:c r="A22" s="13" t="str">
        <x:v>P017</x:v>
      </x:c>
      <x:c r="B22" s="13" t="str">
        <x:v>火星</x:v>
      </x:c>
      <x:c r="C22" s="13" t="str">
        <x:v>普通</x:v>
      </x:c>
      <x:c r="D22" s="14" t="n">
        <x:v>1</x:v>
      </x:c>
      <x:c r="E22" s="13" t="str">
        <x:v>无额外能力；可为工具点火或满足火元素接触条件。</x:v>
      </x:c>
      <x:c r="F22" s="13" t="str">
        <x:v>换热器、小火山</x:v>
      </x:c>
      <x:c r="G22" s="13" t="str">
        <x:v>临时；本回合结算后消失，不入永久牌库</x:v>
      </x:c>
      <x:c r="H22" s="13" t="str">
        <x:v>元素</x:v>
      </x:c>
      <x:c r="I22" s="13" t="str">
        <x:v>火元素</x:v>
      </x:c>
      <x:c r="J22" s="13" t="str">
        <x:v>小三角形</x:v>
      </x:c>
      <x:c r="K22" s="13" t="str">
        <x:v>三角形</x:v>
      </x:c>
      <x:c r="L22" s="13" t="str">
        <x:v>Spell of Ignition（触发器!D124）</x:v>
      </x:c>
    </x:row>
    <x:row r="23" ht="30" customHeight="1">
      <x:c r="A23" s="3" t="str">
        <x:v>P018</x:v>
      </x:c>
      <x:c r="B23" s="3" t="str">
        <x:v>礼花</x:v>
      </x:c>
      <x:c r="C23" s="3" t="str">
        <x:v>优秀</x:v>
      </x:c>
      <x:c r="D23" s="15" t="n">
        <x:v>4</x:v>
      </x:c>
      <x:c r="E23" s="3" t="str">
        <x:v>无额外能力。</x:v>
      </x:c>
      <x:c r="F23" s="3" t="str">
        <x:v>鞭炮</x:v>
      </x:c>
      <x:c r="G23" s="3" t="str">
        <x:v>临时；本回合结算后消失，不入永久牌库</x:v>
      </x:c>
      <x:c r="H23" s="3" t="str">
        <x:v>元素</x:v>
      </x:c>
      <x:c r="I23" s="3" t="str">
        <x:v>火元素</x:v>
      </x:c>
      <x:c r="J23" s="3" t="str">
        <x:v>星形</x:v>
      </x:c>
      <x:c r="K23" s="3" t="str">
        <x:v>不规则形</x:v>
      </x:c>
      <x:c r="L23" s="3" t="str">
        <x:v>Firecracker（触发器!D42）</x:v>
      </x:c>
    </x:row>
    <x:row r="24" ht="30" customHeight="1">
      <x:c r="A24" s="13" t="str">
        <x:v>P019</x:v>
      </x:c>
      <x:c r="B24" s="13" t="str">
        <x:v>蒸汽</x:v>
      </x:c>
      <x:c r="C24" s="13" t="str">
        <x:v>稀有</x:v>
      </x:c>
      <x:c r="D24" s="14" t="n">
        <x:v>8</x:v>
      </x:c>
      <x:c r="E24" s="13" t="str">
        <x:v>同时属于水元素与火元素；但不是水珠，锅炉不能处理。</x:v>
      </x:c>
      <x:c r="F24" s="13" t="str">
        <x:v>蒸汽锅炉</x:v>
      </x:c>
      <x:c r="G24" s="13" t="str">
        <x:v>临时；本回合结算后消失，不入永久牌库</x:v>
      </x:c>
      <x:c r="H24" s="13" t="str">
        <x:v>元素</x:v>
      </x:c>
      <x:c r="I24" s="13" t="str">
        <x:v>水元素、火元素</x:v>
      </x:c>
      <x:c r="J24" s="13" t="str">
        <x:v>云朵形</x:v>
      </x:c>
      <x:c r="K24" s="13" t="str">
        <x:v>不规则形</x:v>
      </x:c>
      <x:c r="L24" s="13" t="str">
        <x:v>Radiator（触发器!D23）</x:v>
      </x:c>
    </x:row>
    <x:row r="25" ht="30" customHeight="1">
      <x:c r="A25" s="3" t="str">
        <x:v>P020</x:v>
      </x:c>
      <x:c r="B25" s="3" t="str">
        <x:v>零钱</x:v>
      </x:c>
      <x:c r="C25" s="3" t="str">
        <x:v>普通</x:v>
      </x:c>
      <x:c r="D25" s="15" t="n">
        <x:v>2</x:v>
      </x:c>
      <x:c r="E25" s="3" t="str">
        <x:v>无额外能力。</x:v>
      </x:c>
      <x:c r="F25" s="3" t="str">
        <x:v>守门巨像、礼帽</x:v>
      </x:c>
      <x:c r="G25" s="3" t="str">
        <x:v>永久；保留在牌库，下回合可抽到</x:v>
      </x:c>
      <x:c r="H25" s="3" t="str">
        <x:v>集市</x:v>
      </x:c>
      <x:c r="I25" s="3" t="str">
        <x:v>货币、金属、商品</x:v>
      </x:c>
      <x:c r="J25" s="3" t="str">
        <x:v>小圆形</x:v>
      </x:c>
      <x:c r="K25" s="3" t="str">
        <x:v>圆形</x:v>
      </x:c>
      <x:c r="L25" s="3" t="str">
        <x:v>Credit Card（触发器!D14）；Tophat（触发器!D99）</x:v>
      </x:c>
    </x:row>
    <x:row r="26" ht="30" customHeight="1">
      <x:c r="A26" s="13" t="str">
        <x:v>P021</x:v>
      </x:c>
      <x:c r="B26" s="13" t="str">
        <x:v>纸影</x:v>
      </x:c>
      <x:c r="C26" s="13" t="str">
        <x:v>优秀</x:v>
      </x:c>
      <x:c r="D26" s="14" t="n">
        <x:v>0</x:v>
      </x:c>
      <x:c r="E26" s="13" t="str">
        <x:v>基础分为复印机目标当时的当前值，上限12；不复制能力或其他标签。</x:v>
      </x:c>
      <x:c r="F26" s="13" t="str">
        <x:v>复印机</x:v>
      </x:c>
      <x:c r="G26" s="13" t="str">
        <x:v>临时；本回合结算后消失，不入永久牌库</x:v>
      </x:c>
      <x:c r="H26" s="13" t="str">
        <x:v>机械</x:v>
      </x:c>
      <x:c r="I26" s="13" t="str">
        <x:v>消耗材料</x:v>
      </x:c>
      <x:c r="J26" s="13" t="str">
        <x:v>方形</x:v>
      </x:c>
      <x:c r="K26" s="13" t="str">
        <x:v>方形</x:v>
      </x:c>
      <x:c r="L26" s="13" t="str">
        <x:v>Axe（触发器!D68）</x:v>
      </x:c>
    </x:row>
    <x:row r="27" ht="30" customHeight="1">
      <x:c r="A27" s="3" t="str">
        <x:v>P022</x:v>
      </x:c>
      <x:c r="B27" s="3" t="str">
        <x:v>幽灵</x:v>
      </x:c>
      <x:c r="C27" s="3" t="str">
        <x:v>普通</x:v>
      </x:c>
      <x:c r="D27" s="15" t="n">
        <x:v>2</x:v>
      </x:c>
      <x:c r="E27" s="3" t="str">
        <x:v>被消耗时额外记分2；同一实例每回合1次，具有普通物理碰撞。</x:v>
      </x:c>
      <x:c r="F27" s="3" t="str">
        <x:v>灵魂罐、纸人</x:v>
      </x:c>
      <x:c r="G27" s="3" t="str">
        <x:v>永久；保留在牌库，下回合可抽到</x:v>
      </x:c>
      <x:c r="H27" s="3" t="str">
        <x:v>灵魂</x:v>
      </x:c>
      <x:c r="I27" s="3" t="str">
        <x:v>灵魂</x:v>
      </x:c>
      <x:c r="J27" s="3" t="str">
        <x:v>圆头水滴形</x:v>
      </x:c>
      <x:c r="K27" s="3" t="str">
        <x:v>不规则形</x:v>
      </x:c>
      <x:c r="L27" s="3" t="str">
        <x:v>Douter（增益!D9）；Tombstone（增益!D26）</x:v>
      </x:c>
    </x:row>
    <x:row r="28" ht="30" customHeight="1">
      <x:c r="A28" s="13" t="str">
        <x:v>P023</x:v>
      </x:c>
      <x:c r="B28" s="13" t="str">
        <x:v>魂火</x:v>
      </x:c>
      <x:c r="C28" s="13" t="str">
        <x:v>优秀</x:v>
      </x:c>
      <x:c r="D28" s="14" t="n">
        <x:v>4</x:v>
      </x:c>
      <x:c r="E28" s="13" t="str">
        <x:v>无额外能力。</x:v>
      </x:c>
      <x:c r="F28" s="13" t="str">
        <x:v>焚化炉</x:v>
      </x:c>
      <x:c r="G28" s="13" t="str">
        <x:v>临时；本回合结算后消失，不入永久牌库</x:v>
      </x:c>
      <x:c r="H28" s="13" t="str">
        <x:v>灵魂</x:v>
      </x:c>
      <x:c r="I28" s="13" t="str">
        <x:v>灵魂、火元素</x:v>
      </x:c>
      <x:c r="J28" s="13" t="str">
        <x:v>水滴形</x:v>
      </x:c>
      <x:c r="K28" s="13" t="str">
        <x:v>不规则形</x:v>
      </x:c>
      <x:c r="L28" s="13" t="str">
        <x:v>Douter（增益!D9）</x:v>
      </x:c>
    </x:row>
    <x:row r="29" ht="30" customHeight="1">
      <x:c r="A29" s="3" t="str">
        <x:v>P024</x:v>
      </x:c>
      <x:c r="B29" s="3" t="str">
        <x:v>宝藏徽记</x:v>
      </x:c>
      <x:c r="C29" s="3" t="str">
        <x:v>稀有</x:v>
      </x:c>
      <x:c r="D29" s="15" t="n">
        <x:v>10</x:v>
      </x:c>
      <x:c r="E29" s="3" t="str">
        <x:v>无额外能力。</x:v>
      </x:c>
      <x:c r="F29" s="3" t="str">
        <x:v>宝箱</x:v>
      </x:c>
      <x:c r="G29" s="3" t="str">
        <x:v>永久；保留在牌库，下回合可抽到</x:v>
      </x:c>
      <x:c r="H29" s="3" t="str">
        <x:v>探险</x:v>
      </x:c>
      <x:c r="I29" s="3" t="str">
        <x:v>探险、宝石、商品</x:v>
      </x:c>
      <x:c r="J29" s="3" t="str">
        <x:v>六边形</x:v>
      </x:c>
      <x:c r="K29" s="3" t="str">
        <x:v>不规则形</x:v>
      </x:c>
      <x:c r="L29" s="3" t="str">
        <x:v>Treasure Chest（触发器!D61）</x:v>
      </x:c>
    </x:row>
    <x:row r="30" ht="30" customHeight="1">
      <x:c r="A30" s="13" t="str">
        <x:v>P025</x:v>
      </x:c>
      <x:c r="B30" s="13" t="str">
        <x:v>奖杯</x:v>
      </x:c>
      <x:c r="C30" s="13" t="str">
        <x:v>稀有</x:v>
      </x:c>
      <x:c r="D30" s="14" t="n">
        <x:v>12</x:v>
      </x:c>
      <x:c r="E30" s="13" t="str">
        <x:v>无额外能力。</x:v>
      </x:c>
      <x:c r="F30" s="13" t="str">
        <x:v>守门巨像</x:v>
      </x:c>
      <x:c r="G30" s="13" t="str">
        <x:v>永久；保留在牌库，下回合可抽到</x:v>
      </x:c>
      <x:c r="H30" s="13" t="str">
        <x:v>探险</x:v>
      </x:c>
      <x:c r="I30" s="13" t="str">
        <x:v>探险、金属、商品</x:v>
      </x:c>
      <x:c r="J30" s="13" t="str">
        <x:v>杯形</x:v>
      </x:c>
      <x:c r="K30" s="13" t="str">
        <x:v>凹槽形</x:v>
      </x:c>
      <x:c r="L30" s="13" t="str">
        <x:v>Cave Troll（触发器!D37）</x:v>
      </x:c>
    </x:row>
    <x:row r="31" ht="30" customHeight="1">
      <x:c r="A31" s="3" t="str">
        <x:v>P026</x:v>
      </x:c>
      <x:c r="B31" s="3" t="str">
        <x:v>古物奖章</x:v>
      </x:c>
      <x:c r="C31" s="3" t="str">
        <x:v>史诗</x:v>
      </x:c>
      <x:c r="D31" s="15" t="n">
        <x:v>10</x:v>
      </x:c>
      <x:c r="E31" s="3" t="str">
        <x:v>结算时自己本回合+2；接触成长物品时再+4。</x:v>
      </x:c>
      <x:c r="F31" s="3" t="str">
        <x:v>时光胶囊原地永久变形</x:v>
      </x:c>
      <x:c r="G31" s="3" t="str">
        <x:v>永久；保留在牌库，下回合可抽到</x:v>
      </x:c>
      <x:c r="H31" s="3" t="str">
        <x:v>结算</x:v>
      </x:c>
      <x:c r="I31" s="3" t="str">
        <x:v>结算、金属、商品</x:v>
      </x:c>
      <x:c r="J31" s="3" t="str">
        <x:v>圆形</x:v>
      </x:c>
      <x:c r="K31" s="3" t="str">
        <x:v>圆形</x:v>
      </x:c>
      <x:c r="L31" s="3" t="str">
        <x:v>Time Capsule（触发器!D98）</x:v>
      </x:c>
    </x:row>
    <x:row r="32" ht="30" customHeight="1">
      <x:c r="A32" s="13" t="str">
        <x:v>P027</x:v>
      </x:c>
      <x:c r="B32" s="13" t="str">
        <x:v>饼干屑</x:v>
      </x:c>
      <x:c r="C32" s="13" t="str">
        <x:v>普通</x:v>
      </x:c>
      <x:c r="D32" s="14" t="n">
        <x:v>1</x:v>
      </x:c>
      <x:c r="E32" s="13" t="str">
        <x:v>无额外能力。</x:v>
      </x:c>
      <x:c r="F32" s="13" t="str">
        <x:v>遗物餐后点心</x:v>
      </x:c>
      <x:c r="G32" s="13" t="str">
        <x:v>永久；保留在牌库，下回合可抽到</x:v>
      </x:c>
      <x:c r="H32" s="13" t="str">
        <x:v>烹饪</x:v>
      </x:c>
      <x:c r="I32" s="13" t="str">
        <x:v>食物、食材、商品</x:v>
      </x:c>
      <x:c r="J32" s="13" t="str">
        <x:v>小多边形</x:v>
      </x:c>
      <x:c r="K32" s="13" t="str">
        <x:v>不规则形</x:v>
      </x:c>
      <x:c r="L32" s="13" t="str">
        <x:v>原创</x:v>
      </x:c>
    </x:row>
    <x:row r="33" ht="30" customHeight="1">
      <x:c r="A33" s="3" t="str">
        <x:v>P028</x:v>
      </x:c>
      <x:c r="B33" s="3" t="str">
        <x:v>花粉</x:v>
      </x:c>
      <x:c r="C33" s="3" t="str">
        <x:v>普通</x:v>
      </x:c>
      <x:c r="D33" s="15" t="n">
        <x:v>2</x:v>
      </x:c>
      <x:c r="E33" s="3" t="str">
        <x:v>无额外能力。</x:v>
      </x:c>
      <x:c r="F33" s="3" t="str">
        <x:v>遗物授粉手册</x:v>
      </x:c>
      <x:c r="G33" s="3" t="str">
        <x:v>临时；本回合结算后消失，不入永久牌库</x:v>
      </x:c>
      <x:c r="H33" s="3" t="str">
        <x:v>种植</x:v>
      </x:c>
      <x:c r="I33" s="3" t="str">
        <x:v>植物</x:v>
      </x:c>
      <x:c r="J33" s="3" t="str">
        <x:v>小圆形</x:v>
      </x:c>
      <x:c r="K33" s="3" t="str">
        <x:v>圆形</x:v>
      </x:c>
      <x:c r="L33" s="3" t="str">
        <x:v>原创</x:v>
      </x:c>
    </x:row>
    <x:row r="34" ht="30" customHeight="1">
      <x:c r="A34" s="13" t="str">
        <x:v>P029</x:v>
      </x:c>
      <x:c r="B34" s="13" t="str">
        <x:v>双黄蛋</x:v>
      </x:c>
      <x:c r="C34" s="13" t="str">
        <x:v>优秀</x:v>
      </x:c>
      <x:c r="D34" s="14" t="n">
        <x:v>5</x:v>
      </x:c>
      <x:c r="E34" s="13" t="str">
        <x:v>在蛋专属条件中视为1颗蛋。</x:v>
      </x:c>
      <x:c r="F34" s="13" t="str">
        <x:v>遗物双黄蛋谱替换普通蛋</x:v>
      </x:c>
      <x:c r="G34" s="13" t="str">
        <x:v>永久；保留在牌库，下回合可抽到</x:v>
      </x:c>
      <x:c r="H34" s="13" t="str">
        <x:v>牧场</x:v>
      </x:c>
      <x:c r="I34" s="13" t="str">
        <x:v>牧场、食物、食材、商品</x:v>
      </x:c>
      <x:c r="J34" s="13" t="str">
        <x:v>宽椭圆</x:v>
      </x:c>
      <x:c r="K34" s="13" t="str">
        <x:v>不规则形</x:v>
      </x:c>
      <x:c r="L34" s="13" t="str">
        <x:v>Chicken（触发器!D71）</x:v>
      </x:c>
    </x:row>
    <x:row r="35" ht="30" customHeight="1">
      <x:c r="A35" s="3" t="str">
        <x:v>P030</x:v>
      </x:c>
      <x:c r="B35" s="3" t="str">
        <x:v>废料</x:v>
      </x:c>
      <x:c r="C35" s="3" t="str">
        <x:v>普通</x:v>
      </x:c>
      <x:c r="D35" s="15" t="n">
        <x:v>1</x:v>
      </x:c>
      <x:c r="E35" s="3" t="str">
        <x:v>无额外能力。</x:v>
      </x:c>
      <x:c r="F35" s="3" t="str">
        <x:v>遗物边角料箱</x:v>
      </x:c>
      <x:c r="G35" s="3" t="str">
        <x:v>永久；保留在牌库，下回合可抽到</x:v>
      </x:c>
      <x:c r="H35" s="3" t="str">
        <x:v>矿业</x:v>
      </x:c>
      <x:c r="I35" s="3" t="str">
        <x:v>金属、消耗材料、商品</x:v>
      </x:c>
      <x:c r="J35" s="3" t="str">
        <x:v>多边形</x:v>
      </x:c>
      <x:c r="K35" s="3" t="str">
        <x:v>不规则形</x:v>
      </x:c>
      <x:c r="L35" s="3" t="str">
        <x:v>Smokestack（增益!D25）</x:v>
      </x:c>
    </x:row>
    <x:row r="36" ht="30" customHeight="1">
      <x:c r="A36" s="13" t="str">
        <x:v>P031</x:v>
      </x:c>
      <x:c r="B36" s="13" t="str">
        <x:v>回声珠</x:v>
      </x:c>
      <x:c r="C36" s="13" t="str">
        <x:v>优秀</x:v>
      </x:c>
      <x:c r="D36" s="14" t="n">
        <x:v>4</x:v>
      </x:c>
      <x:c r="E36" s="13" t="str">
        <x:v>无额外能力。</x:v>
      </x:c>
      <x:c r="F36" s="13" t="str">
        <x:v>遗物共鸣余音</x:v>
      </x:c>
      <x:c r="G36" s="13" t="str">
        <x:v>临时；本回合结算后消失，不入永久牌库</x:v>
      </x:c>
      <x:c r="H36" s="13" t="str">
        <x:v>宝石</x:v>
      </x:c>
      <x:c r="I36" s="13" t="str">
        <x:v>宝石、共鸣</x:v>
      </x:c>
      <x:c r="J36" s="13" t="str">
        <x:v>圆形</x:v>
      </x:c>
      <x:c r="K36" s="13" t="str">
        <x:v>圆形</x:v>
      </x:c>
      <x:c r="L36" s="13" t="str">
        <x:v>Topaz（触发器!D126）</x:v>
      </x:c>
    </x:row>
    <x:row r="37" ht="30" customHeight="1">
      <x:c r="A37" s="3" t="str">
        <x:v>P032</x:v>
      </x:c>
      <x:c r="B37" s="3" t="str">
        <x:v>纪念票</x:v>
      </x:c>
      <x:c r="C37" s="3" t="str">
        <x:v>优秀</x:v>
      </x:c>
      <x:c r="D37" s="15" t="n">
        <x:v>3</x:v>
      </x:c>
      <x:c r="E37" s="3" t="str">
        <x:v>无额外能力，可被印章增值、邮筒消耗。</x:v>
      </x:c>
      <x:c r="F37" s="3" t="str">
        <x:v>遗物集邮册</x:v>
      </x:c>
      <x:c r="G37" s="3" t="str">
        <x:v>永久；保留在牌库，下回合可抽到</x:v>
      </x:c>
      <x:c r="H37" s="3" t="str">
        <x:v>连锁</x:v>
      </x:c>
      <x:c r="I37" s="3" t="str">
        <x:v>连锁、消耗材料、商品</x:v>
      </x:c>
      <x:c r="J37" s="3" t="str">
        <x:v>长方形</x:v>
      </x:c>
      <x:c r="K37" s="3" t="str">
        <x:v>长条形</x:v>
      </x:c>
      <x:c r="L37" s="3" t="str">
        <x:v>原创</x:v>
      </x:c>
    </x:row>
  </x:sheetData>
  <x:conditionalFormatting sqref="C6:C37">
    <x:cfRule type="containsText" dxfId="6" priority="1" operator="containsText" text="稀有"/>
    <x:cfRule type="containsText" dxfId="7" priority="2" operator="containsText" text="史诗"/>
    <x:cfRule type="containsText" dxfId="8" priority="3" operator="containsText" text="优秀"/>
  </x:conditionalFormatting>
  <x:pageMargins left="0.7" right="0.7" top="0.75" bottom="0.75" header="0.3" footer="0.3"/>
  <x:tableParts count="1">
    <x:tablePart xmlns:r="http://schemas.openxmlformats.org/officeDocument/2006/relationships" r:id="R79ef220e146945f8"/>
  </x:tableParts>
</x:worksheet>
</file>

<file path=xl/worksheets/sheet4.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12" hidden="0" customWidth="1"/>
    <x:col min="2" max="2" width="28" hidden="0" customWidth="1"/>
    <x:col min="3" max="3" width="34" hidden="0" customWidth="1"/>
    <x:col min="4" max="4" width="34" hidden="0" customWidth="1"/>
    <x:col min="5" max="5" width="25" hidden="0" customWidth="1"/>
    <x:col min="6" max="6" width="39" hidden="0" customWidth="1"/>
    <x:col min="7" max="7" width="63" hidden="0" customWidth="1"/>
    <x:col min="8" max="8" width="47" hidden="0" customWidth="1"/>
    <x:col min="9" max="9" width="49" hidden="0" customWidth="1"/>
    <x:col min="10" max="10" width="37" hidden="0" customWidth="1"/>
    <x:col min="11" max="11" width="62" hidden="0" customWidth="1"/>
    <x:col min="12" max="12" width="48" hidden="0" customWidth="1"/>
  </x:cols>
  <x:sheetData>
    <x:row r="1">
      <x:c r="A1" s="3"/>
      <x:c r="B1" s="3"/>
      <x:c r="C1" s="3"/>
      <x:c r="D1" s="3"/>
      <x:c r="E1" s="3"/>
      <x:c r="F1" s="3"/>
      <x:c r="G1" s="3"/>
      <x:c r="H1" s="3"/>
      <x:c r="I1" s="3"/>
      <x:c r="J1" s="3"/>
      <x:c r="K1" s="3"/>
      <x:c r="L1" s="3"/>
    </x:row>
    <x:row r="2">
      <x:c r="A2" s="6" t="str">
        <x:v>12套组合路线 · V2</x:v>
      </x:c>
      <x:c r="B2" s="7"/>
      <x:c r="C2" s="7"/>
      <x:c r="D2" s="7"/>
      <x:c r="E2" s="7"/>
      <x:c r="F2" s="7"/>
      <x:c r="G2" s="7"/>
      <x:c r="H2" s="7"/>
      <x:c r="I2" s="7"/>
      <x:c r="J2" s="7"/>
      <x:c r="K2" s="7"/>
      <x:c r="L2" s="7"/>
    </x:row>
    <x:row r="3">
      <x:c r="A3" s="8" t="str">
        <x:v>每套16件为抽样搭配示例；重点核对长期牌库增减与当回合得分。</x:v>
      </x:c>
      <x:c r="B3" s="7"/>
      <x:c r="C3" s="7"/>
      <x:c r="D3" s="7"/>
      <x:c r="E3" s="7"/>
      <x:c r="F3" s="7"/>
      <x:c r="G3" s="7"/>
      <x:c r="H3" s="7"/>
      <x:c r="I3" s="7"/>
      <x:c r="J3" s="7"/>
      <x:c r="K3" s="7"/>
      <x:c r="L3" s="7"/>
    </x:row>
    <x:row r="4">
      <x:c r="A4" s="9"/>
      <x:c r="B4" s="9"/>
      <x:c r="C4" s="9"/>
      <x:c r="D4" s="9"/>
      <x:c r="E4" s="9"/>
      <x:c r="F4" s="9"/>
      <x:c r="G4" s="9"/>
      <x:c r="H4" s="9"/>
      <x:c r="I4" s="9"/>
      <x:c r="J4" s="9"/>
      <x:c r="K4" s="9"/>
      <x:c r="L4" s="9"/>
    </x:row>
    <x:row r="5" ht="30" customHeight="1">
      <x:c r="A5" s="12" t="str">
        <x:v>流派</x:v>
      </x:c>
      <x:c r="B5" s="12" t="str">
        <x:v>得分方式</x:v>
      </x:c>
      <x:c r="C5" s="12" t="str">
        <x:v>起步组件</x:v>
      </x:c>
      <x:c r="D5" s="12" t="str">
        <x:v>中期组件</x:v>
      </x:c>
      <x:c r="E5" s="12" t="str">
        <x:v>核心</x:v>
      </x:c>
      <x:c r="F5" s="12" t="str">
        <x:v>推荐遗物</x:v>
      </x:c>
      <x:c r="G5" s="12" t="str">
        <x:v>玩家如何安排接触</x:v>
      </x:c>
      <x:c r="H5" s="12" t="str">
        <x:v>跨流派搭配</x:v>
      </x:c>
      <x:c r="I5" s="12" t="str">
        <x:v>代价与冲突</x:v>
      </x:c>
      <x:c r="J5" s="12" t="str">
        <x:v>16件样本比例</x:v>
      </x:c>
      <x:c r="K5" s="12" t="str">
        <x:v>局部算例</x:v>
      </x:c>
      <x:c r="L5" s="12" t="str">
        <x:v>首测候选</x:v>
      </x:c>
    </x:row>
    <x:row r="6" ht="38" customHeight="1">
      <x:c r="A6" s="13" t="str">
        <x:v>烹饪</x:v>
      </x:c>
      <x:c r="B6" s="13" t="str">
        <x:v>把原料永久升级为成品，选择留牌或出售</x:v>
      </x:c>
      <x:c r="C6" s="13" t="str">
        <x:v>面包、平底锅、盐罐、奶酪</x:v>
      </x:c>
      <x:c r="D6" s="13" t="str">
        <x:v>葡萄藤、餐盘、饕餮嘴、烤面包架</x:v>
      </x:c>
      <x:c r="E6" s="13" t="str">
        <x:v>宴会钟</x:v>
      </x:c>
      <x:c r="F6" s="13" t="str">
        <x:v>家常菜谱、餐后点心、主厨勋章</x:v>
      </x:c>
      <x:c r="G6" s="13" t="str">
        <x:v>加工只需一件食材。给准备直接吃掉的食物加分；准备留牌的食材优先烹饪成固定基础分餐食。</x:v>
      </x:c>
      <x:c r="H6" s="13" t="str">
        <x:v>种植供果、牧场供奶蛋、火元素点亮烤架，集市出售餐食</x:v>
      </x:c>
      <x:c r="I6" s="13" t="str">
        <x:v>饕餮嘴会永久吃掉食物；奶酪、番茄等功能食材靠近平底锅也可能永久转化。永久产果可补充原料。</x:v>
      </x:c>
      <x:c r="J6" s="13" t="str">
        <x:v>生产者3、食材6、增值3、消费者2、核心2</x:v>
      </x:c>
      <x:c r="K6" s="13" t="str">
        <x:v>面包变热餐：原面包移出牌库，热餐8永久加入；面包亡语4，本回合两者贡献12。牌库净变化0。</x:v>
      </x:c>
      <x:c r="L6" s="13" t="str">
        <x:v>先测面包、奶酪、平底锅、盐罐、饕餮嘴</x:v>
      </x:c>
    </x:row>
    <x:row r="7" ht="38" customHeight="1">
      <x:c r="A7" s="3" t="str">
        <x:v>种植</x:v>
      </x:c>
      <x:c r="B7" s="3" t="str">
        <x:v>在长期产果、浇水成长与立即得分之间选择</x:v>
      </x:c>
      <x:c r="C7" s="3" t="str">
        <x:v>雨云、幼苗、南瓜、花盆</x:v>
      </x:c>
      <x:c r="D7" s="3" t="str">
        <x:v>葡萄藤、蜜蜂、浇水壶</x:v>
      </x:c>
      <x:c r="E7" s="3" t="str">
        <x:v>温室罩、果树</x:v>
      </x:c>
      <x:c r="F7" s="3" t="str">
        <x:v>园艺手套、授粉手册、连根相生</x:v>
      </x:c>
      <x:c r="G7" s="3" t="str">
        <x:v>先让水接触幼苗、果树，再考虑让南瓜消耗。冻结前聚集植物，永久果实可留给后续回合加工。</x:v>
      </x:c>
      <x:c r="H7" s="3" t="str">
        <x:v>烹饪消耗果实、元素消耗水珠、集市处理产物</x:v>
      </x:c>
      <x:c r="I7" s="3" t="str">
        <x:v>果实和水珠会扩大牌库并稀释核心；南瓜本回合加分要永久花水，不能视为免费循环。</x:v>
      </x:c>
      <x:c r="J7" s="3" t="str">
        <x:v>供水3、植物9、辅助4</x:v>
      </x:c>
      <x:c r="K7" s="3" t="str">
        <x:v>南瓜消耗3水珠后由3升至12，温室罩+50%得18；3颗水珠永久移除。</x:v>
      </x:c>
      <x:c r="L7" s="3" t="str">
        <x:v>先测雨云、幼苗、南瓜、葡萄藤、花盆</x:v>
      </x:c>
    </x:row>
    <x:row r="8" ht="38" customHeight="1">
      <x:c r="A8" s="13" t="str">
        <x:v>牧场</x:v>
      </x:c>
      <x:c r="B8" s="13" t="str">
        <x:v>用动物长期产物建立蛋奶与孵化组合</x:v>
      </x:c>
      <x:c r="C8" s="13" t="str">
        <x:v>谷穗、母鸡、鸟巢、牧羊犬</x:v>
      </x:c>
      <x:c r="D8" s="13" t="str">
        <x:v>奶牛、绵羊、孵化器</x:v>
      </x:c>
      <x:c r="E8" s="13" t="str">
        <x:v>蛋托、牧场牌</x:v>
      </x:c>
      <x:c r="F8" s="13" t="str">
        <x:v>加厚草垫、双黄蛋谱、营养饲料</x:v>
      </x:c>
      <x:c r="G8" s="13" t="str">
        <x:v>鸟巢、绵羊通过接触持续供货；母鸡和奶牛需永久花掉谷物。蛋可保留给蛋托、烹饪或永久孵化。</x:v>
      </x:c>
      <x:c r="H8" s="13" t="str">
        <x:v>烹饪处理蛋奶、集市出售羊毛、火元素加热孵化器</x:v>
      </x:c>
      <x:c r="I8" s="13" t="str">
        <x:v>没有无限谷物来源；谷穗需从奖励补充。蛋过多会降低抽到生产动物的概率，可用加工控制组成。</x:v>
      </x:c>
      <x:c r="J8" s="13" t="str">
        <x:v>动物7、谷穗4、设施3、辅助2</x:v>
      </x:c>
      <x:c r="K8" s="13" t="str">
        <x:v>母鸡2吃谷穗获+3并产2蛋，各蛋2；合计9。谷穗-1、蛋+2，牌库净增1。</x:v>
      </x:c>
      <x:c r="L8" s="13" t="str">
        <x:v>先测谷穗、母鸡、鸟巢、孵化器、牧羊犬</x:v>
      </x:c>
    </x:row>
    <x:row r="9" ht="38" customHeight="1">
      <x:c r="A9" s="3" t="str">
        <x:v>矿业</x:v>
      </x:c>
      <x:c r="B9" s="3" t="str">
        <x:v>将低分矿石永久加工为宝石或金属</x:v>
      </x:c>
      <x:c r="C9" s="3" t="str">
        <x:v>碎石、采石袋、矿工镐、碎石机</x:v>
      </x:c>
      <x:c r="D9" s="3" t="str">
        <x:v>铜矿块、铁矿块、铁砧</x:v>
      </x:c>
      <x:c r="E9" s="3" t="str">
        <x:v>熔炉、鉴定师</x:v>
      </x:c>
      <x:c r="F9" s="3" t="str">
        <x:v>矿工手套、边角料箱、精炼工艺</x:v>
      </x:c>
      <x:c r="G9" s="3" t="str">
        <x:v>点亮熔炉后可直接处理一件矿石；小石子可筛选成宝石，也可直接熔炼。选择长期分值和流派标签。</x:v>
      </x:c>
      <x:c r="H9" s="3" t="str">
        <x:v>元素点火、磁铁增强金属、宝石组合扩大结算收益</x:v>
      </x:c>
      <x:c r="I9" s="3" t="str">
        <x:v>矿石加分不自动继承给产物。矿工镐只处理原料矿石；采石袋每回合至多产1颗，需控制工具比例。</x:v>
      </x:c>
      <x:c r="J9" s="3" t="str">
        <x:v>矿石7、工具4、元素2、核心3</x:v>
      </x:c>
      <x:c r="K9" s="3" t="str">
        <x:v>铁矿被熔炉消耗，产基础10金属锭，熔炉因铁矿亡语+3；原料-1、产物+1，牌库净变化0。</x:v>
      </x:c>
      <x:c r="L9" s="3" t="str">
        <x:v>先测碎石、采石袋、矿工镐、碎石机、熔炉</x:v>
      </x:c>
    </x:row>
    <x:row r="10" ht="38" customHeight="1">
      <x:c r="A10" s="13" t="str">
        <x:v>元素</x:v>
      </x:c>
      <x:c r="B10" s="13" t="str">
        <x:v>保留火种作为催化物，把水或矿石换为爆发</x:v>
      </x:c>
      <x:c r="C10" s="13" t="str">
        <x:v>火种、冰块、换热器、泉眼</x:v>
      </x:c>
      <x:c r="D10" s="13" t="str">
        <x:v>火把、蜡烛、风箱</x:v>
      </x:c>
      <x:c r="E10" s="13" t="str">
        <x:v>小火山、蒸汽锅炉、鞭炮</x:v>
      </x:c>
      <x:c r="F10" s="13" t="str">
        <x:v>冷凝管、水火交融、烟火庆典</x:v>
      </x:c>
      <x:c r="G10" s="13" t="str">
        <x:v>火元素先点亮工具后仍留在瓶中；水珠可留牌供下回合，也可永久消耗换取本回合火星或蒸汽。</x:v>
      </x:c>
      <x:c r="H10" s="13" t="str">
        <x:v>种植共享水珠，烹饪和矿业共享点火来源</x:v>
      </x:c>
      <x:c r="I10" s="13" t="str">
        <x:v>锅炉和换热器产物为临时，持续使用会减少永久牌库；泉眼或雨云提供补给，火星不能反向变水。</x:v>
      </x:c>
      <x:c r="J10" s="13" t="str">
        <x:v>供水3、火元素3、转换器4、接收者6</x:v>
      </x:c>
      <x:c r="K10" s="13" t="str">
        <x:v>锅炉用1永久水珠产1临时蒸汽8；若有冷凝管，首份蒸汽另产1永久水珠，本次牌库净变化0。</x:v>
      </x:c>
      <x:c r="L10" s="13" t="str">
        <x:v>先测火种、冰块、换热器、蜡烛、蒸汽锅炉</x:v>
      </x:c>
    </x:row>
    <x:row r="11" ht="38" customHeight="1">
      <x:c r="A11" s="3" t="str">
        <x:v>集市</x:v>
      </x:c>
      <x:c r="B11" s="3" t="str">
        <x:v>货币增值、商品展示与直接出售</x:v>
      </x:c>
      <x:c r="C11" s="3" t="str">
        <x:v>金币、招财猪、海绵、回收桶</x:v>
      </x:c>
      <x:c r="D11" s="3" t="str">
        <x:v>钱包、收银机、货架</x:v>
      </x:c>
      <x:c r="E11" s="3" t="str">
        <x:v>金算盘、宝石展台、拍卖槌</x:v>
      </x:c>
      <x:c r="F11" s="3" t="str">
        <x:v>收据夹、分类货签、满架奖励</x:v>
      </x:c>
      <x:c r="G11" s="3" t="str">
        <x:v>金币与招财猪、钱包直接接触增值；商品先接触收银机记分，再决定保留展示还是交给拍卖槌出售。</x:v>
      </x:c>
      <x:c r="H11" s="3" t="str">
        <x:v>矿业供金属与宝石，烹饪供高价热餐，生产流需要清理低值产物</x:v>
      </x:c>
      <x:c r="I11" s="3" t="str">
        <x:v>拍卖永久失去商品，收银机不消耗商品；不必为每件商品找内部槽位。回收桶仅处理列出的3类低值物。</x:v>
      </x:c>
      <x:c r="J11" s="3" t="str">
        <x:v>货币或商品6、生产源3、集市辅助5、消费者2</x:v>
      </x:c>
      <x:c r="K11" s="3" t="str">
        <x:v>1招财猪接触3金币：猪1+6=7；每金币3+3+2=8，三币24，合计31，牌库数量不变。</x:v>
      </x:c>
      <x:c r="L11" s="3" t="str">
        <x:v>先测金币、招财猪、回收桶、钱包、收银机</x:v>
      </x:c>
    </x:row>
    <x:row r="12" ht="38" customHeight="1">
      <x:c r="A12" s="13" t="str">
        <x:v>机械</x:v>
      </x:c>
      <x:c r="B12" s="13" t="str">
        <x:v>用充能提供当回合增值及有限临时复制</x:v>
      </x:c>
      <x:c r="C12" s="13" t="str">
        <x:v>小电池、发条玩具、插座</x:v>
      </x:c>
      <x:c r="D12" s="13" t="str">
        <x:v>转子发电机、电容罐、冷却柜</x:v>
      </x:c>
      <x:c r="E12" s="13" t="str">
        <x:v>复印机、计数盘</x:v>
      </x:c>
      <x:c r="F12" s="13" t="str">
        <x:v>备用电芯、能量回执、并联线圈</x:v>
      </x:c>
      <x:c r="G12" s="13" t="str">
        <x:v>优先让电容获得充能；插座给可出售商品增值，复印机把商品当前值变成一次性纸影。</x:v>
      </x:c>
      <x:c r="H12" s="13" t="str">
        <x:v>宝石补能、集市先增值后出售、纸影供焚化炉使用</x:v>
      </x:c>
      <x:c r="I12" s="13" t="str">
        <x:v>纸影不入牌库也没有原技能；充能耗尽不销毁物品，补能不刷新次数，不会无限复制。</x:v>
      </x:c>
      <x:c r="J12" s="13" t="str">
        <x:v>电源3、充能6、接收者7</x:v>
      </x:c>
      <x:c r="K12" s="13" t="str">
        <x:v>电容基础1收到3充能后冻结4，剩余3充能结算+9，并联再+6，共19。</x:v>
      </x:c>
      <x:c r="L12" s="13" t="str">
        <x:v>先测小电池、发条玩具、插座、电容罐、计数盘</x:v>
      </x:c>
    </x:row>
    <x:row r="13" ht="38" customHeight="1">
      <x:c r="A13" s="3" t="str">
        <x:v>灵魂</x:v>
      </x:c>
      <x:c r="B13" s="3" t="str">
        <x:v>永久消耗换分，少量复活弥补关键损失</x:v>
      </x:c>
      <x:c r="C13" s="3" t="str">
        <x:v>灵魂罐、纸人、灵魂石</x:v>
      </x:c>
      <x:c r="D13" s="3" t="str">
        <x:v>焚化炉、引魂灯、亡语铃</x:v>
      </x:c>
      <x:c r="E13" s="3" t="str">
        <x:v>守墓人、轮回匣</x:v>
      </x:c>
      <x:c r="F13" s="3" t="str">
        <x:v>悼念花束、不灭烛芯、魂火提灯</x:v>
      </x:c>
      <x:c r="G13" s="3" t="str">
        <x:v>永久幽灵可保留结算或让灵魂石吃掉；亡语铃靠近将被消耗者。轮回匣仅在本回合弃牌堆里复活低分物品。</x:v>
      </x:c>
      <x:c r="H13" s="3" t="str">
        <x:v>机械纸影提供临时燃料，矿业废料和羊毛可供焚化炉使用</x:v>
      </x:c>
      <x:c r="I13" s="3" t="str">
        <x:v>灵魂罐和纸人本身会永久失去；幽灵也不是无限资源。弃牌堆下回合清空，复活保留已用次数。</x:v>
      </x:c>
      <x:c r="J13" s="3" t="str">
        <x:v>消耗材料7、消费者3、观察者4、辅助2</x:v>
      </x:c>
      <x:c r="K13" s="3" t="str">
        <x:v>灵魂石2吃幽灵2后加5，自己7；幽灵亡语记分2，合计9。幽灵永久移除、进当回合弃牌堆。</x:v>
      </x:c>
      <x:c r="L13" s="3" t="str">
        <x:v>先测灵魂罐、纸人、灵魂石、亡语铃、焚化炉</x:v>
      </x:c>
    </x:row>
    <x:row r="14" ht="38" customHeight="1">
      <x:c r="A14" s="13" t="str">
        <x:v>宝石</x:v>
      </x:c>
      <x:c r="B14" s="13" t="str">
        <x:v>借物理接触支援其他流派并形成宝石组合</x:v>
      </x:c>
      <x:c r="C14" s="13" t="str">
        <x:v>共鸣石、紫水晶、调音叉</x:v>
      </x:c>
      <x:c r="D14" s="13" t="str">
        <x:v>黄水晶、石榴石、橄榄石</x:v>
      </x:c>
      <x:c r="E14" s="13" t="str">
        <x:v>黄玉、镜片、彩虹珠</x:v>
      </x:c>
      <x:c r="F14" s="13" t="str">
        <x:v>绒布底座、宝石匣谱、七彩折射</x:v>
      </x:c>
      <x:c r="G14" s="13" t="str">
        <x:v>把黄玉贴在商品生产者旁，其他宝石靠近对应增值目标；冻结前整理宝石接触组和镜片目标。</x:v>
      </x:c>
      <x:c r="H14" s="13" t="str">
        <x:v>矿业永久产晶屑，机械利用充能，成长核心受黄水晶培养</x:v>
      </x:c>
      <x:c r="I14" s="13" t="str">
        <x:v>黄玉追加商品也永久入库，生产过多会稀释宝石；回声珠是明确的临时例外。</x:v>
      </x:c>
      <x:c r="J14" s="13" t="str">
        <x:v>宝石7、接收者6、生产源3</x:v>
      </x:c>
      <x:c r="K14" s="13" t="str">
        <x:v>镜片接触冻结12目标，自己2+floor(12×50%)=8；不读取目标后续结算加分。</x:v>
      </x:c>
      <x:c r="L14" s="13" t="str">
        <x:v>先测共鸣石、紫水晶、调音叉、石榴石、镜片</x:v>
      </x:c>
    </x:row>
    <x:row r="15" ht="38" customHeight="1">
      <x:c r="A15" s="3" t="str">
        <x:v>探险</x:v>
      </x:c>
      <x:c r="B15" s="3" t="str">
        <x:v>用钥匙或武器把一次性目标变成永久战利品</x:v>
      </x:c>
      <x:c r="C15" s="3" t="str">
        <x:v>钥匙、宝箱、木剑、训练木偶</x:v>
      </x:c>
      <x:c r="D15" s="3" t="str">
        <x:v>地图、草帽、罗盘</x:v>
      </x:c>
      <x:c r="E15" s="3" t="str">
        <x:v>守门巨像、礼帽</x:v>
      </x:c>
      <x:c r="F15" s="3" t="str">
        <x:v>备用钥匙圈、磨刀石、探险家勋章</x:v>
      </x:c>
      <x:c r="G15" s="3" t="str">
        <x:v>钥匙碰宝箱直接开启；至少3把木剑分别接触巨像造成固定伤害。战利品留牌或交给拍卖槌出售。</x:v>
      </x:c>
      <x:c r="H15" s="3" t="str">
        <x:v>宝石增值徽记，磁铁增强奖杯，集市出售高值战利品</x:v>
      </x:c>
      <x:c r="I15" s="3" t="str">
        <x:v>宝箱与钥匙都会永久消耗；巨像被击败后也永久移除。宝箱、巨像主要靠后续三选一补充。</x:v>
      </x:c>
      <x:c r="J15" s="3" t="str">
        <x:v>木剑4、钥匙3、目标4、辅助5</x:v>
      </x:c>
      <x:c r="K15" s="3" t="str">
        <x:v>3剑各打巨像1次，生成奖杯12与零钱2，战利品贡献14；每剑本回合另+2。永久目标-1、战利品+2。</x:v>
      </x:c>
      <x:c r="L15" s="3" t="str">
        <x:v>先测钥匙、宝箱、木剑、训练木偶、地图</x:v>
      </x:c>
    </x:row>
    <x:row r="16" ht="38" customHeight="1">
      <x:c r="A16" s="13" t="str">
        <x:v>连锁</x:v>
      </x:c>
      <x:c r="B16" s="13" t="str">
        <x:v>利用真实增值先后顺序和直接接触</x:v>
      </x:c>
      <x:c r="C16" s="13" t="str">
        <x:v>洞穴石、接力棒、印章、信封</x:v>
      </x:c>
      <x:c r="D16" s="13" t="str">
        <x:v>多米诺、邮筒、拼图块</x:v>
      </x:c>
      <x:c r="E16" s="13" t="str">
        <x:v>星图、连锁终端</x:v>
      </x:c>
      <x:c r="F16" s="13" t="str">
        <x:v>印泥、接力手册、集邮册</x:v>
      </x:c>
      <x:c r="G16" s="13" t="str">
        <x:v>先让盐罐或插座等给目标加分，再接触接力棒，最后贴住星图或终端。信封可以长期盖章成长或直接投递换分。</x:v>
      </x:c>
      <x:c r="H16" s="13" t="str">
        <x:v>机械和烹饪提供第一段增值，集市商品可作为多段增值接收者</x:v>
      </x:c>
      <x:c r="I16" s="13" t="str">
        <x:v>无路径层数、邮戳资源；需要两种不同名称的加分物品。邮筒永久消耗信封，纪念票不能重复产票。</x:v>
      </x:c>
      <x:c r="J16" s="13" t="str">
        <x:v>连锁组件4、外部增值源4、接收者8</x:v>
      </x:c>
      <x:c r="K16" s="13" t="str">
        <x:v>金币3先获插座+4，再获接力棒+4，冻结11；与连锁终端接触结算+6，得17，不消耗金币。</x:v>
      </x:c>
      <x:c r="L16" s="13" t="str">
        <x:v>先测洞穴石、接力棒、印章、信封、星图</x:v>
      </x:c>
    </x:row>
    <x:row r="17" ht="38" customHeight="1">
      <x:c r="A17" s="3" t="str">
        <x:v>结算</x:v>
      </x:c>
      <x:c r="B17" s="3" t="str">
        <x:v>培育能长期保留的高分核心</x:v>
      </x:c>
      <x:c r="C17" s="3" t="str">
        <x:v>老树桩、指挥旗、秒表</x:v>
      </x:c>
      <x:c r="D17" s="3" t="str">
        <x:v>沙漏、年轮盘、时光胶囊</x:v>
      </x:c>
      <x:c r="E17" s="3" t="str">
        <x:v>放大镜、平衡秤、桂冠</x:v>
      </x:c>
      <x:c r="F17" s="3" t="str">
        <x:v>旧照片、登场纪念章、头等奖座</x:v>
      </x:c>
      <x:c r="G17" s="3" t="str">
        <x:v>先养成，再用最后的接触布局分配结算加分与倍率。功能核心避免靠近会处理它的消费者。</x:v>
      </x:c>
      <x:c r="H17" s="3" t="str">
        <x:v>宝石培养成长，机械提供本回合加分，集市清理商品调节牌库</x:v>
      </x:c>
      <x:c r="I17" s="3" t="str">
        <x:v>永久生产会降低抽中核心的概率；结算末成长不抬高当回合得分，镜片和最高者选择只读冻结值。</x:v>
      </x:c>
      <x:c r="J17" s="3" t="str">
        <x:v>成长核心6、增值源6、结算辅助4</x:v>
      </x:c>
      <x:c r="K17" s="3" t="str">
        <x:v>核心冻结12、结算+4，获得放大镜100%和桂冠100%，得48；假设核心永久基础分低于10，不触发桂冠额外50%。</x:v>
      </x:c>
      <x:c r="L17" s="3" t="str">
        <x:v>先测老树桩、指挥旗、沙漏、放大镜、平衡秤</x:v>
      </x:c>
    </x:row>
  </x:sheetData>
  <x:pageMargins left="0.7" right="0.7" top="0.75" bottom="0.75" header="0.3" footer="0.3"/>
  <x:tableParts count="1">
    <x:tablePart xmlns:r="http://schemas.openxmlformats.org/officeDocument/2006/relationships" r:id="Rfef7f36dbb654998"/>
  </x:tableParts>
</x:worksheet>
</file>

<file path=xl/worksheets/sheet5.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14" hidden="0" customWidth="1"/>
    <x:col min="2" max="2" width="24" hidden="0" customWidth="1"/>
    <x:col min="3" max="3" width="120" hidden="0" customWidth="1"/>
  </x:cols>
  <x:sheetData>
    <x:row r="1">
      <x:c r="A1" s="3"/>
      <x:c r="B1" s="3"/>
      <x:c r="C1" s="3"/>
    </x:row>
    <x:row r="2">
      <x:c r="A2" s="6" t="str">
        <x:v>规则口径与来源 · V3</x:v>
      </x:c>
      <x:c r="B2" s="7"/>
      <x:c r="C2" s="7"/>
    </x:row>
    <x:row r="3">
      <x:c r="A3" s="8" t="str">
        <x:v>已确认=用户新规则；设计约定=本表具体解释；待定=需要原型验证。</x:v>
      </x:c>
      <x:c r="B3" s="7"/>
      <x:c r="C3" s="7"/>
    </x:row>
    <x:row r="4">
      <x:c r="A4" s="9"/>
      <x:c r="B4" s="9"/>
      <x:c r="C4" s="9"/>
    </x:row>
    <x:row r="5" ht="30" customHeight="1">
      <x:c r="A5" s="12" t="str">
        <x:v>状态</x:v>
      </x:c>
      <x:c r="B5" s="12" t="str">
        <x:v>条目</x:v>
      </x:c>
      <x:c r="C5" s="12" t="str">
        <x:v>内容</x:v>
      </x:c>
    </x:row>
    <x:row r="6" ht="30" customHeight="1">
      <x:c r="A6" s="21" t="str">
        <x:v>已确认</x:v>
      </x:c>
      <x:c r="B6" s="22" t="str">
        <x:v>回合结构</x:v>
      </x:c>
      <x:c r="C6" s="22" t="str">
        <x:v>每回合从牌库抽取16个物体进入瓶中，进行10秒物理摇晃，随后冻结并统一结算。物品三选一仍在每回合结束；每5回合检查目标并获得遗物三选一。</x:v>
      </x:c>
    </x:row>
    <x:row r="7" ht="38" customHeight="1">
      <x:c r="A7" s="23" t="str">
        <x:v>已确认</x:v>
      </x:c>
      <x:c r="B7" s="24" t="str">
        <x:v>默认永久生成</x:v>
      </x:c>
      <x:c r="C7" s="24" t="str">
        <x:v>“生成”默认创建一件永久物品：当场进入瓶中，同时加入永久牌库，之后回合可以抽到。生成时只创建一个实例，瓶中实体与牌库记录是同一件物品。只有明确写“临时生成”的例外不加入永久牌库。</x:v>
      </x:c>
    </x:row>
    <x:row r="8" ht="38" customHeight="1">
      <x:c r="A8" s="21" t="str">
        <x:v>已确认</x:v>
      </x:c>
      <x:c r="B8" s="22" t="str">
        <x:v>默认永久消耗</x:v>
      </x:c>
      <x:c r="C8" s="22" t="str">
        <x:v>“消耗”令目标从瓶中退场并从永久牌库移除，进入本回合弃牌堆。下回合开始时清空弃牌堆，不把这些物品洗回牌库。临时物品被消耗也进入当回合弃牌堆，但本来就没有永久牌库记录。</x:v>
      </x:c>
    </x:row>
    <x:row r="9" ht="38" customHeight="1">
      <x:c r="A9" s="23" t="str">
        <x:v>已确认</x:v>
      </x:c>
      <x:c r="B9" s="24" t="str">
        <x:v>摇晃与直观交互</x:v>
      </x:c>
      <x:c r="C9" s="24" t="str">
        <x:v>摇晃只改变位置和接触机会。效果不读取力度、速度、冲量。取消收存及内部库存；物品通过真实接触直接加分、消耗、生成或变形。瓶内存在的物体才具有物理碰撞与结算分。</x:v>
      </x:c>
    </x:row>
    <x:row r="10" ht="38" customHeight="1">
      <x:c r="A10" s="25" t="str">
        <x:v>设计约定</x:v>
      </x:c>
      <x:c r="B10" s="22" t="str">
        <x:v>每回合重抽</x:v>
      </x:c>
      <x:c r="C10" s="22" t="str">
        <x:v>结算后清理瓶中现场；未被消耗的永久物品仍在牌库。下回合从当前永久牌库重新随机、不放回抽取16件，不额外创建副本。永久消耗可能导致牌库不足16件，其处理规则尚未指定，本表不自行添加补牌或更改抽取数。</x:v>
      </x:c>
    </x:row>
    <x:row r="11" ht="38" customHeight="1">
      <x:c r="A11" s="26" t="str">
        <x:v>设计约定</x:v>
      </x:c>
      <x:c r="B11" s="24" t="str">
        <x:v>临时物品退出</x:v>
      </x:c>
      <x:c r="C11" s="24" t="str">
        <x:v>临时物品正常参加本回合接触和结算；结算完成后自动消失。自然消失不是消耗，不触发亡语、生产或记分。永久物品回合结束离开瓶中也不是消耗，不进弃牌堆。</x:v>
      </x:c>
    </x:row>
    <x:row r="12" ht="38" customHeight="1">
      <x:c r="A12" s="25" t="str">
        <x:v>设计约定</x:v>
      </x:c>
      <x:c r="B12" s="22" t="str">
        <x:v>分数口径</x:v>
      </x:c>
      <x:c r="C12" s="22" t="str">
        <x:v>B为当前永久基础分，V=B+已获本回合加分。未写永久的加分只持续本回合。冻结时记录F=V；所有结算加分合计为A，倍率增量合计为M。每件存活物品得分=floor((F+A)×(1+M))。</x:v>
      </x:c>
    </x:row>
    <x:row r="13" ht="38" customHeight="1">
      <x:c r="A13" s="26" t="str">
        <x:v>设计约定</x:v>
      </x:c>
      <x:c r="B13" s="24" t="str">
        <x:v>事件记分</x:v>
      </x:c>
      <x:c r="C13" s="24" t="str">
        <x:v>摇晃中“记分”进入事件池E，10秒后统一计入总分。被消耗物品不再结算自身分数；消耗不会自动给分，只有卡面写出的记分、亡语或产物产生收益。回合总分=存活物品得分之和+E+明确的结算末记分。</x:v>
      </x:c>
    </x:row>
    <x:row r="14" ht="38" customHeight="1">
      <x:c r="A14" s="25" t="str">
        <x:v>设计约定</x:v>
      </x:c>
      <x:c r="B14" s="22" t="str">
        <x:v>冻结与倍率</x:v>
      </x:c>
      <x:c r="C14" s="22" t="str">
        <x:v>10秒时完成当前已成功反应并冻结，停止新接触与新生产。先计算普通结算加分，再执行精密标尺，再收集倍率。倍率增量相加：+50%与+100%最终乘2.5。结算效果每来源只执行一次，不相互递归触发。</x:v>
      </x:c>
    </x:row>
    <x:row r="15" ht="38" customHeight="1">
      <x:c r="A15" s="26" t="str">
        <x:v>设计约定</x:v>
      </x:c>
      <x:c r="B15" s="24" t="str">
        <x:v>选择目标</x:v>
      </x:c>
      <x:c r="C15" s="24" t="str">
        <x:v>结算时最高、最低、差值及镜片读取一律依据F，不读取正在累加的A或M。并列按实例编号小者先；“唯一最高”在并列时不生效。默认不以自身为“接触目标”。</x:v>
      </x:c>
    </x:row>
    <x:row r="16" ht="38" customHeight="1">
      <x:c r="A16" s="25" t="str">
        <x:v>设计约定</x:v>
      </x:c>
      <x:c r="B16" s="22" t="str">
        <x:v>真实接触</x:v>
      </x:c>
      <x:c r="C16" s="22" t="str">
        <x:v>接触来自两个物体真实物理接触，不使用棋盘格、不默认包括瓶壁。同一来源对同一目标每回合最多成功触发一次，卡面另列的总次数同时成立。条件暂不满足时不扣次数；持续接触中条件变为满足，可触发尚未使用的这次机会。</x:v>
      </x:c>
    </x:row>
    <x:row r="17" ht="38" customHeight="1">
      <x:c r="A17" s="26" t="str">
        <x:v>设计约定</x:v>
      </x:c>
      <x:c r="B17" s="24" t="str">
        <x:v>连通组及标签</x:v>
      </x:c>
      <x:c r="C17" s="24" t="str">
        <x:v>植物、宝石、拼图接触组只用符合条件的节点及其直接接触边，不经其他物体连接。类别条件读取标签；“集市物品”“矿业物品”“连锁物品”等流派条件读取主流派。火/水元素按标签判定；同时具有两种标签不重复计数。</x:v>
      </x:c>
    </x:row>
    <x:row r="18" ht="38" customHeight="1">
      <x:c r="A18" s="25" t="str">
        <x:v>设计约定</x:v>
      </x:c>
      <x:c r="B18" s="22" t="str">
        <x:v>成功消耗</x:v>
      </x:c>
      <x:c r="C18" s="22" t="str">
        <x:v>同一目标只能被一次成功消耗。先验证所有条件，再同时移除配方需要的全部目标、扣除资源、生成产物及触发记分。木盾阻止消耗时，整次反应取消，关联生产、亡语、充能花费和收益均不发生；护盾自己的次数会用掉。</x:v>
      </x:c>
    </x:row>
    <x:row r="19" ht="38" customHeight="1">
      <x:c r="A19" s="26" t="str">
        <x:v>设计约定</x:v>
      </x:c>
      <x:c r="B19" s="24" t="str">
        <x:v>弃牌堆与复活</x:v>
      </x:c>
      <x:c r="C19" s="24" t="str">
        <x:v>弃牌堆只保存本回合已被消耗的实例，不保存材料库存。轮回匣从中选出合格永久物品，再支付幽灵，随后把同一目标从弃牌堆移回瓶中并恢复牌库记录。复活不是生成；保留其本回合使用次数、消耗触发次数、加分、状态与剩余充能，不刷新收益。</x:v>
      </x:c>
    </x:row>
    <x:row r="20" ht="38" customHeight="1">
      <x:c r="A20" s="25" t="str">
        <x:v>设计约定</x:v>
      </x:c>
      <x:c r="B20" s="22" t="str">
        <x:v>直接加工</x:v>
      </x:c>
      <x:c r="C20" s="22" t="str">
        <x:v>平底锅、孵化器、熔炉均一次消耗一件合格原料，直接生成产物；不先存材料。火元素是烤架、孵化器、熔炉、锅炉的点火来源，不被这些点火操作消耗。它们点亮/加热状态持续本回合。</x:v>
      </x:c>
    </x:row>
    <x:row r="21" ht="38" customHeight="1">
      <x:c r="A21" s="26" t="str">
        <x:v>设计约定</x:v>
      </x:c>
      <x:c r="B21" s="24" t="str">
        <x:v>物品总表与奖励池</x:v>
      </x:c>
      <x:c r="C21" s="24" t="str">
        <x:v>全部152件统一列在物品总表，145件永久、7件临时。获取方式可有多个来源；是否进入三选一独立控制奖励池。120件进入三选一，22件永久生成、3件永久进阶及7件临时物品仅由对应来源获得。永久生成物品可在以后回合抽取，不因此进入三选一；钥匙同时支持三选一和遗物生成。</x:v>
      </x:c>
    </x:row>
    <x:row r="22" ht="38" customHeight="1">
      <x:c r="A22" s="25" t="str">
        <x:v>设计约定</x:v>
      </x:c>
      <x:c r="B22" s="22" t="str">
        <x:v>生产追加</x:v>
      </x:c>
      <x:c r="C22" s="22" t="str">
        <x:v>物品自身技能为正常生产；遗物、黄玉、礼帽所增加的产物为追加生成。追加生成不再次触发生产类遗物、黄玉或礼帽，但之后可正常接触、消耗。黄玉遇到多产物时，追加第一个符合商品标签的产物，沿用其生成基础分及永久/临时属性。</x:v>
      </x:c>
    </x:row>
    <x:row r="23" ht="38" customHeight="1">
      <x:c r="A23" s="26" t="str">
        <x:v>设计约定</x:v>
      </x:c>
      <x:c r="B23" s="24" t="str">
        <x:v>生成与空间</x:v>
      </x:c>
      <x:c r="C23" s="24" t="str">
        <x:v>新物体在来源附近进入瓶中并遵循物理规则，16件只限定初始抽取。必须在合法位置生成，不能因初始重叠反复刷接触；来源与产物分离后再接触才触发两者的接触效果。空间不足时不提交该次反应、不扣原料或次数，10秒内可重试；容量仍需物理原型验证。</x:v>
      </x:c>
    </x:row>
    <x:row r="24" ht="38" customHeight="1">
      <x:c r="A24" s="25" t="str">
        <x:v>设计约定</x:v>
      </x:c>
      <x:c r="B24" s="22" t="str">
        <x:v>商品与生成基础分</x:v>
      </x:c>
      <x:c r="C24" s="22" t="str">
        <x:v>商品是卡面可见标签，不是独立资源。食材、餐食是不同标签，热餐与烤吐司不是食材，不能再次投入平底锅。产物基础分按物品总表或明确的生成效果设定，原料临时增值不会自动继承成永久分数。双黄蛋按1颗蛋处理。</x:v>
      </x:c>
    </x:row>
    <x:row r="25" ht="38" customHeight="1">
      <x:c r="A25" s="26" t="str">
        <x:v>设计约定</x:v>
      </x:c>
      <x:c r="B25" s="24" t="str">
        <x:v>充能</x:v>
      </x:c>
      <x:c r="C25" s="24" t="str">
        <x:v>每次正常入场把充能恢复到卡面初始值，上限5。电源的电量独立，不能被充能效果补充。复活不重置初始值；加充能不刷新技能次数。小电池花的是电量，不能触发花费充能遗物。</x:v>
      </x:c>
    </x:row>
    <x:row r="26" ht="38" customHeight="1">
      <x:c r="A26" s="25" t="str">
        <x:v>设计约定</x:v>
      </x:c>
      <x:c r="B26" s="22" t="str">
        <x:v>增值历史</x:v>
      </x:c>
      <x:c r="C26" s="22" t="str">
        <x:v>“被物品增值过”只统计摇晃阶段由其他物品带来的正数本回合加分或永久基础分增加；不同种指来源名称不同。自身加分、遗物加分、充能、变形和结算加分均不计。界面可显示来源图标，无需路径层数或邮戳资源。</x:v>
      </x:c>
    </x:row>
    <x:row r="27" ht="38" customHeight="1">
      <x:c r="A27" s="26" t="str">
        <x:v>设计约定</x:v>
      </x:c>
      <x:c r="B27" s="24" t="str">
        <x:v>永久成长时点</x:v>
      </x:c>
      <x:c r="C27" s="24" t="str">
        <x:v>接触时的永久基础分增加立即生效并保留，因此也增加本回合V；结算末发生的永久成长在计分后写入，不追溯本回合分数。先处理自身成长，再处理黄水晶及其他成长来源，再处理沙漏和精打细算，最后判断成长档案；达到来源上限不算成功成长。</x:v>
      </x:c>
    </x:row>
    <x:row r="28" ht="38" customHeight="1">
      <x:c r="A28" s="25" t="str">
        <x:v>设计约定</x:v>
      </x:c>
      <x:c r="B28" s="22" t="str">
        <x:v>永久变形</x:v>
      </x:c>
      <x:c r="C28" s="22" t="str">
        <x:v>幼苗→嫩芽、毛虫→彩翼蝶、时光胶囊→古物奖章均原地替换牌库中的同一实例，不进弃牌堆，也不触发生成/消耗。采用新形态的基础分和标签，清除旧加分；实例身份及本回合已经使用的通用触发次数保留。</x:v>
      </x:c>
    </x:row>
    <x:row r="29" ht="38" customHeight="1">
      <x:c r="A29" s="26" t="str">
        <x:v>设计约定</x:v>
      </x:c>
      <x:c r="B29" s="24" t="str">
        <x:v>回合状态及成长比较</x:v>
      </x:c>
      <x:c r="C29" s="24" t="str">
        <x:v>点亮、加热、火属性、伤害、接触历史均只持续本回合；毛虫成长次数和时光胶囊出场次数跨回合。永久基础分成长与该形态初始值比较，生成时固定的基础分特例本身不算成长。初始充能遗物在正常入场触发，复活不算入场。</x:v>
      </x:c>
    </x:row>
    <x:row r="30" ht="38" customHeight="1">
      <x:c r="A30" s="25" t="str">
        <x:v>设计约定</x:v>
      </x:c>
      <x:c r="B30" s="22" t="str">
        <x:v>同刻冲突与遗物</x:v>
      </x:c>
      <x:c r="C30" s="22" t="str">
        <x:v>同一时刻多来源按实例编号从小到大处理，来源有多个候选目标也按编号选择；卡面另有排序者优先。当前按同名遗物最多持有1份设计，遗物不占16件、不发生物理碰撞，获得后不补发已结束回合的效果；重复掉落规则待定。</x:v>
      </x:c>
    </x:row>
    <x:row r="31" ht="38" customHeight="1">
      <x:c r="A31" s="26" t="str">
        <x:v>设计约定</x:v>
      </x:c>
      <x:c r="B31" s="24" t="str">
        <x:v>品质与形状</x:v>
      </x:c>
      <x:c r="C31" s="24" t="str">
        <x:v>本提案使用普通、优秀、稀有、史诗四档品质。标准形状为圆形、方形、三角形、长条形、凹槽形、弧形、不规则形；效果只读取标准形状列。质量、尺寸、摩擦和掉落权重仍需测试。</x:v>
      </x:c>
    </x:row>
    <x:row r="32" ht="38" customHeight="1">
      <x:c r="A32" s="25" t="str">
        <x:v>设计约定</x:v>
      </x:c>
      <x:c r="B32" s="22" t="str">
        <x:v>牌库变化示例</x:v>
      </x:c>
      <x:c r="C32" s="22" t="str">
        <x:v>面包变热餐：永久-1+1；母鸡吃谷穗产2蛋：永久-1+2；海绵吃水珠：永久-1；锅炉吃水珠产蒸汽：永久-1、临时+1；宝箱+钥匙变徽记+晶屑：永久-2+2。未被消耗的永久产物不会因回合结束丢失。</x:v>
      </x:c>
    </x:row>
    <x:row r="33" ht="38" customHeight="1">
      <x:c r="A33" s="28" t="str">
        <x:v>待定</x:v>
      </x:c>
      <x:c r="B33" s="27" t="str">
        <x:v>边界与目标</x:v>
      </x:c>
      <x:c r="C33" s="27" t="str">
        <x:v>永久牌库不足16件时如何开始下回合，需要确定。每5回合的目标分数曲线、达标后余额及失败规则也待定。本次不新增补牌、购买或抽卡资源；所有分数均为首轮测试值。</x:v>
      </x:c>
    </x:row>
    <x:row r="34" ht="38" customHeight="1">
      <x:c r="A34" s="28" t="str">
        <x:v>待定</x:v>
      </x:c>
      <x:c r="B34" s="27" t="str">
        <x:v>原型验收重点</x:v>
      </x:c>
      <x:c r="C34" s="27" t="str">
        <x:v>检查5回合内牌库净增量、16件抽样的有效搭配率、核心被误消耗频率、消费收益与长期留牌收益。免费生成大多限制每来源每回合1件；永久消耗强度仍需实际对局验证，当前不是已验证平衡。</x:v>
      </x:c>
    </x:row>
    <x:row r="35" ht="38" customHeight="1">
      <x:c r="A35" s="26" t="str">
        <x:v>来源</x:v>
      </x:c>
      <x:c r="B35" s="24" t="str">
        <x:v>参考表</x:v>
      </x:c>
      <x:c r="C35" s="24" t="str">
        <x:v>用户提供的《弹球亿万富翁》飞书工作簿，读取于2026-10-11。源表有126个完整效果触发器与46个完整效果增益；另20个触发器、12个增益缺少完整效果，未作为已知原版能力使用。</x:v>
      </x:c>
    </x:row>
    <x:row r="36" ht="30" customHeight="1">
      <x:c r="A36" s="25" t="str">
        <x:v>来源</x:v>
      </x:c>
      <x:c r="B36" s="22" t="str">
        <x:v>链接</x:v>
      </x:c>
      <x:c r="C36" s="22" t="str">
        <x:v>https://my.feishu.cn/sheets/P5svsZIKNhlNPXtidT7cS6oXnFc</x:v>
      </x:c>
    </x:row>
    <x:row r="37" ht="38" customHeight="1">
      <x:c r="A37" s="26" t="str">
        <x:v>来源</x:v>
      </x:c>
      <x:c r="B37" s="24" t="str">
        <x:v>借鉴边界与版本</x:v>
      </x:c>
      <x:c r="C37" s="24" t="str">
        <x:v>沿用用户飞书参考表及原单元格引用。V3在V2效果基础上合并物品与产物，增加获取方式、是否进入三选一、存续字段。I/P前缀仅保留原ID，不决定获取资格。参考列表示设计灵感而非原版翻译；未核验原作最新版本。</x:v>
      </x:c>
    </x:row>
  </x:sheetData>
  <x:pageMargins left="0.7" right="0.7" top="0.75" bottom="0.75" header="0.3" footer="0.3"/>
  <x:tableParts count="1">
    <x:tablePart xmlns:r="http://schemas.openxmlformats.org/officeDocument/2006/relationships" r:id="R46a31f24449a4b0b"/>
  </x:tableParts>
</x:worksheet>
</file>

<file path=xl/worksheets/sheet6.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22" hidden="0" customWidth="1"/>
    <x:col min="2" max="2" width="29" hidden="0" customWidth="1"/>
    <x:col min="3" max="3" width="75" hidden="0" customWidth="1"/>
    <x:col min="4" max="4" width="51" hidden="0" customWidth="1"/>
  </x:cols>
  <x:sheetData>
    <x:row r="1">
      <x:c r="A1" s="3"/>
      <x:c r="B1" s="3"/>
      <x:c r="C1" s="3"/>
      <x:c r="D1" s="3"/>
    </x:row>
    <x:row r="2">
      <x:c r="A2" s="6" t="str">
        <x:v>原机制适配 · V2</x:v>
      </x:c>
      <x:c r="B2" s="7"/>
      <x:c r="C2" s="7"/>
      <x:c r="D2" s="7"/>
    </x:row>
    <x:row r="3">
      <x:c r="A3" s="8" t="str">
        <x:v>沿用飞书参考条目；对应本作永久牌库、真实接触和10秒结算。</x:v>
      </x:c>
      <x:c r="B3" s="7"/>
      <x:c r="C3" s="7"/>
      <x:c r="D3" s="7"/>
    </x:row>
    <x:row r="4">
      <x:c r="A4" s="9"/>
      <x:c r="B4" s="9"/>
      <x:c r="C4" s="9"/>
      <x:c r="D4" s="9"/>
    </x:row>
    <x:row r="5" ht="30" customHeight="1">
      <x:c r="A5" s="12" t="str">
        <x:v>原表机制</x:v>
      </x:c>
      <x:c r="B5" s="12" t="str">
        <x:v>本作设计</x:v>
      </x:c>
      <x:c r="C5" s="12" t="str">
        <x:v>适配说明</x:v>
      </x:c>
      <x:c r="D5" s="12" t="str">
        <x:v>参考条目</x:v>
      </x:c>
    </x:row>
    <x:row r="6" ht="30" customHeight="1">
      <x:c r="A6" s="13" t="str">
        <x:v>被球碰到</x:v>
      </x:c>
      <x:c r="B6" s="13" t="str">
        <x:v>两个物品真实接触</x:v>
      </x:c>
      <x:c r="C6" s="13" t="str">
        <x:v>保留碰撞发现组合的乐趣；物品均是会运动的实体，不按撞击力度决定效果。</x:v>
      </x:c>
      <x:c r="D6" s="13" t="str">
        <x:v>Bread、Pumpkin、Sword</x:v>
      </x:c>
    </x:row>
    <x:row r="7" ht="30" customHeight="1">
      <x:c r="A7" s="3" t="str">
        <x:v>携带物或收集内容</x:v>
      </x:c>
      <x:c r="B7" s="3" t="str">
        <x:v>直接接触、加分与出售</x:v>
      </x:c>
      <x:c r="C7" s="3" t="str">
        <x:v>钱包永久增值货币，礼帽在邻接生产事件时产零钱；取消内部存货与隐藏的收存记录。</x:v>
      </x:c>
      <x:c r="D7" s="3" t="str">
        <x:v>Torch、Wallet、Tophat</x:v>
      </x:c>
    </x:row>
    <x:row r="8" ht="30" customHeight="1">
      <x:c r="A8" s="13" t="str">
        <x:v>固定格相邻</x:v>
      </x:c>
      <x:c r="B8" s="13" t="str">
        <x:v>冻结时接触或接触组</x:v>
      </x:c>
      <x:c r="C8" s="13" t="str">
        <x:v>玩家可用摇晃促成或拆散接触，不假设棋盘格。</x:v>
      </x:c>
      <x:c r="D8" s="13" t="str">
        <x:v>Amethyst、Clover、Hammock</x:v>
      </x:c>
    </x:row>
    <x:row r="9" ht="30" customHeight="1">
      <x:c r="A9" s="3" t="str">
        <x:v>球离开屏幕</x:v>
      </x:c>
      <x:c r="B9" s="3" t="str">
        <x:v>当前回合弃牌堆及明确复活</x:v>
      </x:c>
      <x:c r="C9" s="3" t="str">
        <x:v>封闭容器不使用离屏奖励。消耗立即永久移除，轮回匣只能复活本回合已消耗的低分永久物品。</x:v>
      </x:c>
      <x:c r="D9" s="3" t="str">
        <x:v>Feather、Shopping List</x:v>
      </x:c>
    </x:row>
    <x:row r="10" ht="30" customHeight="1">
      <x:c r="A10" s="13" t="str">
        <x:v>收益倍率</x:v>
      </x:c>
      <x:c r="B10" s="13" t="str">
        <x:v>冻结后倍率增量</x:v>
      </x:c>
      <x:c r="C10" s="13" t="str">
        <x:v>倍率相加后统一结算，避免倍率相互复制的递归。</x:v>
      </x:c>
      <x:c r="D10" s="13" t="str">
        <x:v>Rainbow、Compass</x:v>
      </x:c>
    </x:row>
    <x:row r="11" ht="30" customHeight="1">
      <x:c r="A11" s="3" t="str">
        <x:v>限次充能</x:v>
      </x:c>
      <x:c r="B11" s="3" t="str">
        <x:v>显示充能与单回合上限</x:v>
      </x:c>
      <x:c r="C11" s="3" t="str">
        <x:v>充能可以补充但不刷新技能次数；免费永久生产单独收紧次数。</x:v>
      </x:c>
      <x:c r="D11" s="3" t="str">
        <x:v>Battery、Greenhouse、Outlet</x:v>
      </x:c>
    </x:row>
    <x:row r="12" ht="30" customHeight="1">
      <x:c r="A12" s="13" t="str">
        <x:v>重转</x:v>
      </x:c>
      <x:c r="B12" s="13" t="str">
        <x:v>成长或充能支援</x:v>
      </x:c>
      <x:c r="C12" s="13" t="str">
        <x:v>保持每回合16件与10秒操作窗口，不引入额外重转资源。</x:v>
      </x:c>
      <x:c r="D12" s="13" t="str">
        <x:v>Hourglass、Tire Pump</x:v>
      </x:c>
    </x:row>
    <x:row r="13" ht="30" customHeight="1">
      <x:c r="A13" s="3" t="str">
        <x:v>销毁或移除</x:v>
      </x:c>
      <x:c r="B13" s="3" t="str">
        <x:v>永久消耗与当回合弃牌堆</x:v>
      </x:c>
      <x:c r="C13" s="3" t="str">
        <x:v>消费时从牌库移除；弃牌堆下回合清空而非洗回。生产默认永久，临时例外明写。</x:v>
      </x:c>
      <x:c r="D13" s="3" t="str">
        <x:v>Recycling Bin、Trash Can</x:v>
      </x:c>
    </x:row>
    <x:row r="14" ht="38" customHeight="1">
      <x:c r="A14" s="13" t="str">
        <x:v>年龄</x:v>
      </x:c>
      <x:c r="B14" s="13" t="str">
        <x:v>永久成长或原地升级</x:v>
      </x:c>
      <x:c r="C14" s="13" t="str">
        <x:v>毛虫、胶囊按实际存活出场成长；幼苗接水变嫩芽。升级替换同一张牌，不同时触发死亡与生产。</x:v>
      </x:c>
      <x:c r="D14" s="13" t="str">
        <x:v>Tree、Caterpillar、Time Capsule</x:v>
      </x:c>
    </x:row>
    <x:row r="15" ht="30" customHeight="1">
      <x:c r="A15" s="3" t="str">
        <x:v>额外抽取</x:v>
      </x:c>
      <x:c r="B15" s="3" t="str">
        <x:v>产物与组合奖励</x:v>
      </x:c>
      <x:c r="C15" s="3" t="str">
        <x:v>保留物品和遗物三选一节奏，不增加选项或初始抽取数。</x:v>
      </x:c>
      <x:c r="D15" s="3" t="str">
        <x:v>Camera、Rabbit's Foot、Growth Serum</x:v>
      </x:c>
    </x:row>
    <x:row r="16" ht="30" customHeight="1">
      <x:c r="A16" s="13" t="str">
        <x:v>堆叠与容器</x:v>
      </x:c>
      <x:c r="B16" s="13" t="str">
        <x:v>独立实体的展示和接触</x:v>
      </x:c>
      <x:c r="C16" s="13" t="str">
        <x:v>餐盘、蛋托、货架只影响仍在瓶中的物品；计分对象可见，不吞进不可见库存。</x:v>
      </x:c>
      <x:c r="D16" s="13" t="str">
        <x:v>Cairn、Plate、Amethyst</x:v>
      </x:c>
    </x:row>
    <x:row r="17" ht="30" customHeight="1">
      <x:c r="A17" s="3" t="str">
        <x:v>可攻击目标</x:v>
      </x:c>
      <x:c r="B17" s="3" t="str">
        <x:v>固定伤害与永久战利品</x:v>
      </x:c>
      <x:c r="C17" s="3" t="str">
        <x:v>木剑每次成功接触造成固定1伤害；巨像3伤害后永久消耗，生成永久奖杯与零钱。</x:v>
      </x:c>
      <x:c r="D17" s="3" t="str">
        <x:v>Practice Dummy、Cave Troll</x:v>
      </x:c>
    </x:row>
    <x:row r="18" ht="30" customHeight="1">
      <x:c r="A18" s="13" t="str">
        <x:v>原版不明效果</x:v>
      </x:c>
      <x:c r="B18" s="13" t="str">
        <x:v>不推断缺失能力</x:v>
      </x:c>
      <x:c r="C18" s="13" t="str">
        <x:v>20个触发器、12个增益缺完整效果，未用作已知原版机制。本表仍保留来源和原创标注。</x:v>
      </x:c>
      <x:c r="D18" s="13" t="str">
        <x:v>Oven、Zoo、Dark Medal等</x:v>
      </x:c>
    </x:row>
    <x:row r="19" ht="30" customHeight="1">
      <x:c r="A19" s="3" t="str">
        <x:v>原版30秒冷却</x:v>
      </x:c>
      <x:c r="B19" s="3" t="str">
        <x:v>10秒内有限触发</x:v>
      </x:c>
      <x:c r="C19" s="3" t="str">
        <x:v>按来源、目标和回合限制成功次数；返还保留已用次数，追加产物不继续追加。</x:v>
      </x:c>
      <x:c r="D19" s="3" t="str">
        <x:v>Balloon、Chef's Pan、Firecracker</x:v>
      </x:c>
    </x:row>
    <x:row r="20" ht="38" customHeight="1">
      <x:c r="A20" s="13" t="str">
        <x:v>原版金额</x:v>
      </x:c>
      <x:c r="B20" s="13" t="str">
        <x:v>永久牌库变化下的原型分数</x:v>
      </x:c>
      <x:c r="C20" s="13" t="str">
        <x:v>直接消费需权衡失去未来出场价值；固定产物基础分不继承原料临时增值。所有数值仍待对局验证。</x:v>
      </x:c>
      <x:c r="D20" s="13" t="str">
        <x:v>源表全部数值</x:v>
      </x:c>
    </x:row>
  </x:sheetData>
  <x:pageMargins left="0.7" right="0.7" top="0.75" bottom="0.75" header="0.3" footer="0.3"/>
  <x:tableParts count="1">
    <x:tablePart xmlns:r="http://schemas.openxmlformats.org/officeDocument/2006/relationships" r:id="Rc585cfece10a451c"/>
  </x:tableParts>
</x:worksheet>
</file>

<file path=xl/worksheets/sheet7.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31" hidden="0" customWidth="1"/>
    <x:col min="2" max="2" width="13" hidden="0" customWidth="1"/>
    <x:col min="3" max="3" width="15" hidden="0" customWidth="1"/>
    <x:col min="4" max="4" width="15" hidden="0" customWidth="1"/>
    <x:col min="5" max="5" width="15" hidden="0" customWidth="1"/>
    <x:col min="6" max="6" width="14" hidden="0" customWidth="1"/>
    <x:col min="7" max="7" width="58" hidden="0" customWidth="1"/>
  </x:cols>
  <x:sheetData>
    <x:row r="1">
      <x:c r="A1" s="3"/>
      <x:c r="B1" s="3"/>
      <x:c r="C1" s="3"/>
      <x:c r="D1" s="3"/>
      <x:c r="E1" s="3"/>
      <x:c r="F1" s="3"/>
      <x:c r="G1" s="3"/>
    </x:row>
    <x:row r="2">
      <x:c r="A2" s="6" t="str">
        <x:v>结算算例 · V2</x:v>
      </x:c>
      <x:c r="B2" s="7"/>
      <x:c r="C2" s="7"/>
      <x:c r="D2" s="7"/>
      <x:c r="E2" s="7"/>
      <x:c r="F2" s="7"/>
      <x:c r="G2" s="7"/>
    </x:row>
    <x:row r="3">
      <x:c r="A3" s="8" t="str">
        <x:v>仅计算所述组件贡献；同步说明永久牌库变化，结果列使用公式。</x:v>
      </x:c>
      <x:c r="B3" s="7"/>
      <x:c r="C3" s="7"/>
      <x:c r="D3" s="7"/>
      <x:c r="E3" s="7"/>
      <x:c r="F3" s="7"/>
      <x:c r="G3" s="7"/>
    </x:row>
    <x:row r="4">
      <x:c r="A4" s="9"/>
      <x:c r="B4" s="9"/>
      <x:c r="C4" s="9"/>
      <x:c r="D4" s="9"/>
      <x:c r="E4" s="9"/>
      <x:c r="F4" s="9"/>
      <x:c r="G4" s="9"/>
    </x:row>
    <x:row r="5" ht="30" customHeight="1">
      <x:c r="A5" s="12" t="str">
        <x:v>算例</x:v>
      </x:c>
      <x:c r="B5" s="12" t="str">
        <x:v>冻结值F</x:v>
      </x:c>
      <x:c r="C5" s="12" t="str">
        <x:v>结算加分A</x:v>
      </x:c>
      <x:c r="D5" s="12" t="str">
        <x:v>倍率增量M</x:v>
      </x:c>
      <x:c r="E5" s="12" t="str">
        <x:v>事件记分E</x:v>
      </x:c>
      <x:c r="F5" s="12" t="str">
        <x:v>计算结果</x:v>
      </x:c>
      <x:c r="G5" s="12" t="str">
        <x:v>说明</x:v>
      </x:c>
    </x:row>
    <x:row r="6" ht="38" customHeight="1">
      <x:c r="A6" s="13" t="str">
        <x:v>招财猪接触3枚金币</x:v>
      </x:c>
      <x:c r="B6" s="14" t="n">
        <x:v>7</x:v>
      </x:c>
      <x:c r="C6" s="14" t="n">
        <x:v>0</x:v>
      </x:c>
      <x:c r="D6" s="19" t="n">
        <x:v>0</x:v>
      </x:c>
      <x:c r="E6" s="14" t="n">
        <x:v>0</x:v>
      </x:c>
      <x:c r="F6" s="14" t="n">
        <x:f>ROUNDDOWN((B6+C6)*(1+D6),0)+E6</x:f>
        <x:v>7</x:v>
      </x:c>
      <x:c r="G6" s="13" t="str">
        <x:v>此行只算猪：基础1+3次×2=7；3枚金币各3+3+2=8，另得24。整体31，牌库不变。</x:v>
      </x:c>
    </x:row>
    <x:row r="7" ht="30" customHeight="1">
      <x:c r="A7" s="3" t="str">
        <x:v>南瓜3水珠+温室罩</x:v>
      </x:c>
      <x:c r="B7" s="15" t="n">
        <x:v>12</x:v>
      </x:c>
      <x:c r="C7" s="15" t="n">
        <x:v>0</x:v>
      </x:c>
      <x:c r="D7" s="20" t="n">
        <x:v>0.5</x:v>
      </x:c>
      <x:c r="E7" s="15" t="n">
        <x:v>0</x:v>
      </x:c>
      <x:c r="F7" s="15" t="n">
        <x:f>ROUNDDOWN((B7+C7)*(1+D7),0)+E7</x:f>
        <x:v>18</x:v>
      </x:c>
      <x:c r="G7" s="3" t="str">
        <x:v>南瓜基础3+3×3，乘1.5得18；永久消耗3颗水珠。</x:v>
      </x:c>
    </x:row>
    <x:row r="8" ht="38" customHeight="1">
      <x:c r="A8" s="13" t="str">
        <x:v>核心叠放大镜与桂冠</x:v>
      </x:c>
      <x:c r="B8" s="14" t="n">
        <x:v>12</x:v>
      </x:c>
      <x:c r="C8" s="14" t="n">
        <x:v>4</x:v>
      </x:c>
      <x:c r="D8" s="19" t="n">
        <x:v>2</x:v>
      </x:c>
      <x:c r="E8" s="14" t="n">
        <x:v>0</x:v>
      </x:c>
      <x:c r="F8" s="14" t="n">
        <x:f>ROUNDDOWN((B8+C8)*(1+D8),0)+E8</x:f>
        <x:v>48</x:v>
      </x:c>
      <x:c r="G8" s="13" t="str">
        <x:v>倍率100%+100%，最终乘3得48；核心永久基础分须低于10，且为唯一最高，桂冠额外50%不触发。</x:v>
      </x:c>
    </x:row>
    <x:row r="9" ht="30" customHeight="1">
      <x:c r="A9" s="3" t="str">
        <x:v>灵魂石消耗1幽灵</x:v>
      </x:c>
      <x:c r="B9" s="15" t="n">
        <x:v>7</x:v>
      </x:c>
      <x:c r="C9" s="15" t="n">
        <x:v>0</x:v>
      </x:c>
      <x:c r="D9" s="20" t="n">
        <x:v>0</x:v>
      </x:c>
      <x:c r="E9" s="15" t="n">
        <x:v>2</x:v>
      </x:c>
      <x:c r="F9" s="15" t="n">
        <x:f>ROUNDDOWN((B9+C9)*(1+D9),0)+E9</x:f>
        <x:v>9</x:v>
      </x:c>
      <x:c r="G9" s="3" t="str">
        <x:v>灵魂石基础2+幽灵当前2+额外3=7；幽灵消耗记分2，总9。幽灵永久移除。</x:v>
      </x:c>
    </x:row>
    <x:row r="10" ht="30" customHeight="1">
      <x:c r="A10" s="13" t="str">
        <x:v>镜片读取冻结12</x:v>
      </x:c>
      <x:c r="B10" s="14" t="n">
        <x:v>2</x:v>
      </x:c>
      <x:c r="C10" s="14" t="n">
        <x:v>6</x:v>
      </x:c>
      <x:c r="D10" s="19" t="n">
        <x:v>0</x:v>
      </x:c>
      <x:c r="E10" s="14" t="n">
        <x:v>0</x:v>
      </x:c>
      <x:c r="F10" s="14" t="n">
        <x:f>ROUNDDOWN((B10+C10)*(1+D10),0)+E10</x:f>
        <x:v>8</x:v>
      </x:c>
      <x:c r="G10" s="13" t="str">
        <x:v>读取冻结值50%，不读取对方结算加分；2+6=8。</x:v>
      </x:c>
    </x:row>
    <x:row r="11" ht="38" customHeight="1">
      <x:c r="A11" s="3" t="str">
        <x:v>面包经平底锅变热餐</x:v>
      </x:c>
      <x:c r="B11" s="15" t="n">
        <x:v>8</x:v>
      </x:c>
      <x:c r="C11" s="15" t="n">
        <x:v>0</x:v>
      </x:c>
      <x:c r="D11" s="20" t="n">
        <x:v>0</x:v>
      </x:c>
      <x:c r="E11" s="15" t="n">
        <x:v>4</x:v>
      </x:c>
      <x:c r="F11" s="15" t="n">
        <x:f>ROUNDDOWN((B11+C11)*(1+D11),0)+E11</x:f>
        <x:v>12</x:v>
      </x:c>
      <x:c r="G11" s="3" t="str">
        <x:v>此行只算热餐8与面包亡语4；面包-1、永久热餐+1，牌库净变化0。平底锅分数另计。</x:v>
      </x:c>
    </x:row>
    <x:row r="12" ht="30" customHeight="1">
      <x:c r="A12" s="13" t="str">
        <x:v>电容3充能+并联线圈</x:v>
      </x:c>
      <x:c r="B12" s="14" t="n">
        <x:v>4</x:v>
      </x:c>
      <x:c r="C12" s="14" t="n">
        <x:v>15</x:v>
      </x:c>
      <x:c r="D12" s="19" t="n">
        <x:v>0</x:v>
      </x:c>
      <x:c r="E12" s="14" t="n">
        <x:v>0</x:v>
      </x:c>
      <x:c r="F12" s="14" t="n">
        <x:f>ROUNDDOWN((B12+C12)*(1+D12),0)+E12</x:f>
        <x:v>19</x:v>
      </x:c>
      <x:c r="G12" s="13" t="str">
        <x:v>电容基础1获3充能先+3；结算3×3，并联线圈3×2，总19。</x:v>
      </x:c>
    </x:row>
    <x:row r="13" ht="38" customHeight="1">
      <x:c r="A13" s="3" t="str">
        <x:v>拍卖槌出售当前值8热餐</x:v>
      </x:c>
      <x:c r="B13" s="15" t="n">
        <x:v>0</x:v>
      </x:c>
      <x:c r="C13" s="15" t="n">
        <x:v>0</x:v>
      </x:c>
      <x:c r="D13" s="20" t="n">
        <x:v>0</x:v>
      </x:c>
      <x:c r="E13" s="15" t="n">
        <x:v>24</x:v>
      </x:c>
      <x:c r="F13" s="15" t="n">
        <x:f>ROUNDDOWN((B13+C13)*(1+D13),0)+E13</x:f>
        <x:v>24</x:v>
      </x:c>
      <x:c r="G13" s="3" t="str">
        <x:v>只算出售事件：永久移除热餐，记分8×3=24；热餐不再结算。拍卖槌自身分数另计。</x:v>
      </x:c>
    </x:row>
  </x:sheetData>
  <x:pageMargins left="0.7" right="0.7" top="0.75" bottom="0.75" header="0.3" footer="0.3"/>
  <x:tableParts count="1">
    <x:tablePart xmlns:r="http://schemas.openxmlformats.org/officeDocument/2006/relationships" r:id="R09f2d6e07efc40ba"/>
  </x:tableParts>
</x:worksheet>
</file>