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c53842ce1749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物品总表" sheetId="1" r:id="R15affa7375114546"/>
    <x:sheet xmlns:r="http://schemas.openxmlformats.org/officeDocument/2006/relationships" name="遗物" sheetId="2" r:id="R83500dd3b84341c0"/>
    <x:sheet xmlns:r="http://schemas.openxmlformats.org/officeDocument/2006/relationships" name="流派组合" sheetId="4" r:id="Rb3434fd7a4964931"/>
    <x:sheet xmlns:r="http://schemas.openxmlformats.org/officeDocument/2006/relationships" name="规则" sheetId="5" r:id="R72c9a3dbbe65405e"/>
    <x:sheet xmlns:r="http://schemas.openxmlformats.org/officeDocument/2006/relationships" name="原机制适配" sheetId="6" r:id="Rc3ed512ea6a646b2"/>
    <x:sheet xmlns:r="http://schemas.openxmlformats.org/officeDocument/2006/relationships" name="结算算例" sheetId="7" r:id="R5e5141e95e7d4873"/>
    <x:sheet xmlns:r="http://schemas.openxmlformats.org/officeDocument/2006/relationships" name="审查调整" sheetId="8" r:id="R4f0a98758aea4095"/>
    <x:sheet xmlns:r="http://schemas.openxmlformats.org/officeDocument/2006/relationships" name="循环检查" sheetId="9" r:id="R88053429904d4c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%"/>
    <x:numFmt numFmtId="202" formatCode="0.0%"/>
    <x:numFmt numFmtId="203" formatCode="0.0"/>
  </x:numFmts>
  <x:fonts count="13">
    <x:font>
      <x:sz val="11"/>
      <x:name val="Carlito"/>
    </x:font>
    <x:font>
      <x:sz val="10"/>
      <x:color rgb="FF20334D"/>
      <x:name val="Microsoft YaHei"/>
    </x:font>
    <x:font>
      <x:b/>
      <x:sz val="16"/>
      <x:color rgb="FF20334D"/>
      <x:name val="Microsoft YaHei"/>
    </x:font>
    <x:font>
      <x:sz val="10"/>
      <x:color rgb="FF52627A"/>
      <x:name val="Microsoft YaHei"/>
    </x:font>
    <x:font>
      <x:b/>
      <x:sz val="10"/>
      <x:color rgb="FFFFFFFF"/>
      <x:name val="Microsoft YaHei"/>
    </x:font>
    <x:font>
      <x:b/>
      <x:sz val="10"/>
      <x:color rgb="FF3B6B54"/>
      <x:name val="Microsoft YaHei"/>
    </x:font>
    <x:font>
      <x:sz val="10"/>
      <x:color rgb="FF20334D"/>
      <x:name val="Microsoft YaHei"/>
    </x:font>
    <x:font>
      <x:b/>
      <x:sz val="10"/>
      <x:color rgb="FF20334D"/>
      <x:name val="Microsoft YaHei"/>
    </x:font>
    <x:font>
      <x:sz val="10"/>
      <x:color rgb="FF20334D"/>
      <x:name val="Microsoft YaHei"/>
    </x:font>
    <x:font>
      <x:sz val="10"/>
      <x:color rgb="FF54677E"/>
      <x:name val="Microsoft YaHei"/>
    </x:font>
    <x:font>
      <x:sz val="10"/>
      <x:color rgb="FF20334D"/>
      <x:name val="Microsoft YaHei"/>
    </x:font>
    <x:font>
      <x:sz val="10"/>
      <x:color rgb="FF20334D"/>
      <x:name val="Microsoft YaHei"/>
    </x:font>
    <x:font>
      <x:b/>
      <x:sz val="12"/>
      <x:color rgb="FF20334D"/>
      <x:name val="Microsoft YaHei"/>
    </x:font>
  </x:fonts>
  <x:fills count="27">
    <x:fill>
      <x:patternFill patternType="none"/>
    </x:fill>
    <x:fill>
      <x:patternFill patternType="gray125"/>
    </x:fill>
    <x:fill>
      <x:patternFill patternType="solid">
        <x:fgColor rgb="FF344D6D"/>
      </x:patternFill>
    </x:fill>
    <x:fill>
      <x:patternFill patternType="solid">
        <x:fgColor rgb="FFF3F6FA"/>
      </x:patternFill>
    </x:fill>
    <x:fill>
      <x:patternFill patternType="solid">
        <x:fgColor rgb="FFFFF2CC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344D6D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344D6D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344D6D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344D6D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E1EFE5"/>
      </x:patternFill>
    </x:fill>
    <x:fill>
      <x:patternFill patternType="solid">
        <x:fgColor rgb="FFFFF2CC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D7DFE8"/>
      </x:bottom>
      <x:diagonal/>
    </x:border>
  </x:borders>
  <x:cellStyleXfs count="1">
    <x:xf numFmtId="0" fontId="0" fillId="0" borderId="0"/>
  </x:cellStyleXfs>
  <x:cellXfs count="14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200" fontId="1" fillId="12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7" fillId="11" borderId="0" xfId="0" applyNumberFormat="1" applyFont="1" applyFill="1" applyBorder="1" applyAlignment="1">
      <x:alignment vertical="center" wrapText="1"/>
    </x:xf>
    <x:xf numFmtId="0" fontId="7" fillId="12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8" fillId="11" borderId="0" xfId="0" applyNumberFormat="1" applyFont="1" applyFill="1" applyBorder="1" applyAlignment="1">
      <x:alignment vertical="center" wrapText="1"/>
    </x:xf>
    <x:xf numFmtId="0" fontId="8" fillId="12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vertical="center" wrapText="1"/>
    </x:xf>
    <x:xf numFmtId="201" fontId="1" fillId="11" borderId="0" xfId="0" applyNumberFormat="1" applyFont="1" applyFill="1" applyBorder="1" applyAlignment="1">
      <x:alignment vertical="center" wrapText="1"/>
    </x:xf>
    <x:xf numFmtId="201" fontId="1" fillId="1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 wrapText="0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200" fontId="1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200" fontId="1" fillId="16" borderId="0" xfId="0" applyNumberFormat="1" applyFont="1" applyFill="1" applyBorder="1" applyAlignment="1">
      <x:alignment vertic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0" fontId="7" fillId="15" borderId="0" xfId="0" applyNumberFormat="1" applyFont="1" applyFill="1" applyBorder="1" applyAlignment="1">
      <x:alignment vertical="center" wrapText="1"/>
    </x:xf>
    <x:xf numFmtId="0" fontId="7" fillId="16" borderId="0" xfId="0" applyNumberFormat="1" applyFont="1" applyFill="1" applyBorder="1" applyAlignment="1">
      <x:alignment vertical="center" wrapText="1"/>
    </x:xf>
    <x:xf numFmtId="0" fontId="5" fillId="15" borderId="0" xfId="0" applyNumberFormat="1" applyFont="1" applyFill="1" applyBorder="1" applyAlignment="1">
      <x:alignment vertical="center" wrapText="1"/>
    </x:xf>
    <x:xf numFmtId="0" fontId="5" fillId="16" borderId="0" xfId="0" applyNumberFormat="1" applyFont="1" applyFill="1" applyBorder="1" applyAlignment="1">
      <x:alignment vertical="center" wrapText="1"/>
    </x:xf>
    <x:xf numFmtId="0" fontId="10" fillId="15" borderId="0" xfId="0" applyNumberFormat="1" applyFont="1" applyFill="1" applyBorder="1" applyAlignment="1">
      <x:alignment vertical="center" wrapText="1"/>
    </x:xf>
    <x:xf numFmtId="0" fontId="10" fillId="16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10" fillId="17" borderId="0" xfId="0" applyNumberFormat="1" applyFont="1" applyFill="1" applyBorder="1" applyAlignment="1">
      <x:alignment vertical="center" wrapText="1"/>
    </x:xf>
    <x:xf numFmtId="201" fontId="1" fillId="6" borderId="0" xfId="0" applyNumberFormat="1" applyFont="1" applyFill="1" applyBorder="1" applyAlignment="1">
      <x:alignment vertical="center" wrapText="1"/>
    </x:xf>
    <x:xf numFmtId="201" fontId="1" fillId="15" borderId="0" xfId="0" applyNumberFormat="1" applyFont="1" applyFill="1" applyBorder="1" applyAlignment="1">
      <x:alignment vertical="center" wrapText="1"/>
    </x:xf>
    <x:xf numFmtId="201" fontId="1" fillId="16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4" fillId="14" borderId="0" xfId="0" applyNumberFormat="1" applyFont="1" applyFill="1" applyBorder="1"/>
    <x:xf numFmtId="0" fontId="4" fillId="14" borderId="0" xfId="0" applyNumberFormat="1" applyFont="1" applyFill="1" applyBorder="1" applyAlignment="1">
      <x:alignment wrapText="1"/>
    </x:xf>
    <x:xf numFmtId="0" fontId="4" fillId="14" borderId="0" xfId="0" applyNumberFormat="1" applyFont="1" applyFill="1" applyBorder="1" applyAlignment="1">
      <x:alignment horizontal="center" wrapText="1"/>
    </x:xf>
    <x:xf numFmtId="0" fontId="4" fillId="18" borderId="0" xfId="0" applyNumberFormat="1" applyFont="1" applyFill="1" applyBorder="1" applyAlignment="1">
      <x:alignment horizontal="center"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200" fontId="1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1" fillId="20" borderId="0" xfId="0" applyNumberFormat="1" applyFont="1" applyFill="1" applyBorder="1" applyAlignment="1">
      <x:alignment vertical="center" wrapText="1"/>
    </x:xf>
    <x:xf numFmtId="200" fontId="1" fillId="20" borderId="0" xfId="0" applyNumberFormat="1" applyFont="1" applyFill="1" applyBorder="1" applyAlignment="1">
      <x:alignment vertical="center" wrapText="1"/>
    </x:xf>
    <x:xf numFmtId="0" fontId="1" fillId="20" borderId="0" xfId="0" applyNumberFormat="1" applyFont="1" applyFill="1" applyBorder="1" applyAlignment="1">
      <x:alignment horizontal="center" vertical="center" wrapText="1"/>
    </x:xf>
    <x:xf numFmtId="0" fontId="7" fillId="19" borderId="0" xfId="0" applyNumberFormat="1" applyFont="1" applyFill="1" applyBorder="1" applyAlignment="1">
      <x:alignment vertical="center" wrapText="1"/>
    </x:xf>
    <x:xf numFmtId="0" fontId="7" fillId="20" borderId="0" xfId="0" applyNumberFormat="1" applyFont="1" applyFill="1" applyBorder="1" applyAlignment="1">
      <x:alignment vertical="center" wrapText="1"/>
    </x:xf>
    <x:xf numFmtId="0" fontId="5" fillId="19" borderId="0" xfId="0" applyNumberFormat="1" applyFont="1" applyFill="1" applyBorder="1" applyAlignment="1">
      <x:alignment vertical="center" wrapText="1"/>
    </x:xf>
    <x:xf numFmtId="0" fontId="5" fillId="20" borderId="0" xfId="0" applyNumberFormat="1" applyFont="1" applyFill="1" applyBorder="1" applyAlignment="1">
      <x:alignment vertical="center" wrapText="1"/>
    </x:xf>
    <x:xf numFmtId="0" fontId="11" fillId="19" borderId="0" xfId="0" applyNumberFormat="1" applyFont="1" applyFill="1" applyBorder="1" applyAlignment="1">
      <x:alignment vertical="center" wrapText="1"/>
    </x:xf>
    <x:xf numFmtId="0" fontId="11" fillId="20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0" fontId="11" fillId="21" borderId="0" xfId="0" applyNumberFormat="1" applyFont="1" applyFill="1" applyBorder="1" applyAlignment="1">
      <x:alignment vertical="center" wrapText="1"/>
    </x:xf>
    <x:xf numFmtId="201" fontId="1" fillId="19" borderId="0" xfId="0" applyNumberFormat="1" applyFont="1" applyFill="1" applyBorder="1" applyAlignment="1">
      <x:alignment vertical="center" wrapText="1"/>
    </x:xf>
    <x:xf numFmtId="201" fontId="1" fillId="20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4" fillId="18" borderId="0" xfId="0" applyNumberFormat="1" applyFont="1" applyFill="1" applyBorder="1"/>
    <x:xf numFmtId="0" fontId="4" fillId="18" borderId="0" xfId="0" applyNumberFormat="1" applyFont="1" applyFill="1" applyBorder="1" applyAlignment="1">
      <x:alignment wrapText="1"/>
    </x:xf>
    <x:xf numFmtId="0" fontId="4" fillId="18" borderId="0" xfId="0" applyNumberFormat="1" applyFont="1" applyFill="1" applyBorder="1" applyAlignment="1">
      <x:alignment horizontal="center" wrapText="1"/>
    </x:xf>
    <x:xf numFmtId="0" fontId="12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1" fillId="21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/>
    <x:xf numFmtId="0" fontId="1" fillId="20" borderId="0" xfId="0" applyNumberFormat="1" applyFont="1" applyFill="1" applyBorder="1"/>
    <x:xf numFmtId="0" fontId="1" fillId="20" borderId="0" xfId="0" applyNumberFormat="1" applyFont="1" applyFill="1" applyBorder="1" applyAlignment="1">
      <x:alignment wrapText="1"/>
    </x:xf>
    <x:xf numFmtId="0" fontId="4" fillId="22" borderId="0" xfId="0" applyNumberFormat="1" applyFont="1" applyFill="1" applyBorder="1" applyAlignment="1">
      <x:alignment horizontal="center" vertical="center" wrapText="1"/>
    </x:xf>
    <x:xf numFmtId="0" fontId="0" fillId="22" borderId="0" xfId="0" applyNumberFormat="1" applyFont="1" applyFill="1" applyBorder="1"/>
    <x:xf numFmtId="0" fontId="4" fillId="22" borderId="0" xfId="0" applyNumberFormat="1" applyFont="1" applyFill="1" applyBorder="1"/>
    <x:xf numFmtId="0" fontId="4" fillId="22" borderId="0" xfId="0" applyNumberFormat="1" applyFont="1" applyFill="1" applyBorder="1" applyAlignment="1">
      <x:alignment wrapText="1"/>
    </x:xf>
    <x:xf numFmtId="0" fontId="4" fillId="22" borderId="0" xfId="0" applyNumberFormat="1" applyFont="1" applyFill="1" applyBorder="1" applyAlignment="1">
      <x:alignment horizontal="center" wrapText="1"/>
    </x:xf>
    <x:xf numFmtId="0" fontId="1" fillId="23" borderId="0" xfId="0" applyNumberFormat="1" applyFont="1" applyFill="1" applyBorder="1" applyAlignment="1">
      <x:alignment vertical="center" wrapText="1"/>
    </x:xf>
    <x:xf numFmtId="200" fontId="1" fillId="23" borderId="0" xfId="0" applyNumberFormat="1" applyFont="1" applyFill="1" applyBorder="1" applyAlignment="1">
      <x:alignment vertical="center" wrapText="1"/>
    </x:xf>
    <x:xf numFmtId="0" fontId="1" fillId="23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1" fillId="23" borderId="0" xfId="0" applyNumberFormat="1" applyFont="1" applyFill="1" applyBorder="1"/>
    <x:xf numFmtId="0" fontId="1" fillId="23" borderId="0" xfId="0" applyNumberFormat="1" applyFont="1" applyFill="1" applyBorder="1" applyAlignment="1">
      <x:alignment wrapText="1"/>
    </x:xf>
    <x:xf numFmtId="0" fontId="1" fillId="24" borderId="0" xfId="0" applyNumberFormat="1" applyFont="1" applyFill="1" applyBorder="1" applyAlignment="1">
      <x:alignment vertical="center" wrapText="1"/>
    </x:xf>
    <x:xf numFmtId="200" fontId="1" fillId="24" borderId="0" xfId="0" applyNumberFormat="1" applyFont="1" applyFill="1" applyBorder="1" applyAlignment="1">
      <x:alignment vertical="center" wrapText="1"/>
    </x:xf>
    <x:xf numFmtId="0" fontId="1" fillId="24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1" fillId="24" borderId="0" xfId="0" applyNumberFormat="1" applyFont="1" applyFill="1" applyBorder="1" applyAlignment="1">
      <x:alignment wrapText="1"/>
    </x:xf>
    <x:xf numFmtId="0" fontId="1" fillId="25" borderId="0" xfId="0" applyNumberFormat="1" applyFont="1" applyFill="1" applyBorder="1" applyAlignment="1">
      <x:alignment vertical="center" wrapText="1"/>
    </x:xf>
    <x:xf numFmtId="0" fontId="7" fillId="25" borderId="0" xfId="0" applyNumberFormat="1" applyFont="1" applyFill="1" applyBorder="1" applyAlignment="1">
      <x:alignment vertical="center" wrapText="1"/>
    </x:xf>
    <x:xf numFmtId="0" fontId="5" fillId="23" borderId="0" xfId="0" applyNumberFormat="1" applyFont="1" applyFill="1" applyBorder="1" applyAlignment="1">
      <x:alignment vertical="center" wrapText="1"/>
    </x:xf>
    <x:xf numFmtId="0" fontId="7" fillId="23" borderId="0" xfId="0" applyNumberFormat="1" applyFont="1" applyFill="1" applyBorder="1" applyAlignment="1">
      <x:alignment vertical="center" wrapText="1"/>
    </x:xf>
    <x:xf numFmtId="0" fontId="5" fillId="24" borderId="0" xfId="0" applyNumberFormat="1" applyFont="1" applyFill="1" applyBorder="1" applyAlignment="1">
      <x:alignment vertical="center" wrapText="1"/>
    </x:xf>
    <x:xf numFmtId="0" fontId="7" fillId="24" borderId="0" xfId="0" applyNumberFormat="1" applyFont="1" applyFill="1" applyBorder="1" applyAlignment="1">
      <x:alignment vertical="center" wrapText="1"/>
    </x:xf>
    <x:xf numFmtId="0" fontId="1" fillId="26" borderId="0" xfId="0" applyNumberFormat="1" applyFont="1" applyFill="1" applyBorder="1" applyAlignment="1">
      <x:alignment vertical="center" wrapText="1"/>
    </x:xf>
    <x:xf numFmtId="201" fontId="1" fillId="23" borderId="0" xfId="0" applyNumberFormat="1" applyFont="1" applyFill="1" applyBorder="1" applyAlignment="1">
      <x:alignment vertical="center" wrapText="1"/>
    </x:xf>
    <x:xf numFmtId="201" fontId="1" fillId="2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4">
    <x:dxf>
      <x:font>
        <x:color rgb="FF194F87"/>
      </x:font>
      <x:fill>
        <x:patternFill>
          <x:bgColor rgb="FFDDEBFA"/>
        </x:patternFill>
      </x:fill>
    </x:dxf>
    <x:dxf>
      <x:font>
        <x:color rgb="FF68408D"/>
      </x:font>
      <x:fill>
        <x:patternFill>
          <x:bgColor rgb="FFEADFF4"/>
        </x:patternFill>
      </x:fill>
    </x:dxf>
    <x:dxf>
      <x:font>
        <x:color rgb="FF2A663D"/>
      </x:font>
      <x:fill>
        <x:patternFill>
          <x:bgColor rgb="FFE1EFE5"/>
        </x:patternFill>
      </x:fill>
    </x:dxf>
    <x:dxf>
      <x:font>
        <x:color rgb="FF194F87"/>
      </x:font>
      <x:fill>
        <x:patternFill>
          <x:bgColor rgb="FFDDEBFA"/>
        </x:patternFill>
      </x:fill>
    </x:dxf>
    <x:dxf>
      <x:font>
        <x:color rgb="FF68408D"/>
      </x:font>
      <x:fill>
        <x:patternFill>
          <x:bgColor rgb="FFEADFF4"/>
        </x:patternFill>
      </x:fill>
    </x:dxf>
    <x:dxf>
      <x:font>
        <x:color rgb="FF2A663D"/>
      </x:font>
      <x:fill>
        <x:patternFill>
          <x:bgColor rgb="FFE1EFE5"/>
        </x:patternFill>
      </x:fill>
    </x:dxf>
    <x:dxf>
      <x:font>
        <x:color rgb="FF194F87"/>
      </x:font>
      <x:fill>
        <x:patternFill>
          <x:bgColor rgb="FFDDEBFA"/>
        </x:patternFill>
      </x:fill>
    </x:dxf>
    <x:dxf>
      <x:font>
        <x:color rgb="FF68408D"/>
      </x:font>
      <x:fill>
        <x:patternFill>
          <x:bgColor rgb="FFEADFF4"/>
        </x:patternFill>
      </x:fill>
    </x:dxf>
    <x:dxf>
      <x:font>
        <x:color rgb="FF2A663D"/>
      </x:font>
      <x:fill>
        <x:patternFill>
          <x:bgColor rgb="FFE1EFE5"/>
        </x:patternFill>
      </x:fill>
    </x:dxf>
    <x:dxf>
      <x:font>
        <x:color rgb="FF2A663D"/>
      </x:font>
      <x:fill>
        <x:patternFill>
          <x:bgColor rgb="FFE1EFE5"/>
        </x:patternFill>
      </x:fill>
    </x:dxf>
    <x:dxf>
      <x:font>
        <x:color rgb="FF194F87"/>
      </x:font>
      <x:fill>
        <x:patternFill>
          <x:bgColor rgb="FFDDEBFA"/>
        </x:patternFill>
      </x:fill>
    </x:dxf>
    <x:dxf>
      <x:font>
        <x:color rgb="FF68408D"/>
      </x:font>
      <x:fill>
        <x:patternFill>
          <x:bgColor rgb="FFEADFF4"/>
        </x:patternFill>
      </x:fill>
    </x:dxf>
    <x:dxf>
      <x:font>
        <x:color rgb="FF7D5700"/>
      </x:font>
      <x:fill>
        <x:patternFill>
          <x:bgColor rgb="FFFFF2CC"/>
        </x:patternFill>
      </x:fill>
    </x:dxf>
    <x:dxf>
      <x:font>
        <x:color rgb="FF194F87"/>
      </x:font>
      <x:fill>
        <x:patternFill>
          <x:bgColor rgb="FFDDEBFA"/>
        </x:patternFill>
      </x:fill>
    </x:dxf>
    <x:dxf>
      <x:font>
        <x:color rgb="FF7D5700"/>
      </x:font>
      <x:fill>
        <x:patternFill>
          <x:bgColor rgb="FFFFF2CC"/>
        </x:patternFill>
      </x:fill>
    </x:dxf>
    <x:dxf>
      <x:font>
        <x:color rgb="FF9B3636"/>
      </x:font>
      <x:fill>
        <x:patternFill>
          <x:bgColor rgb="FFF8DEDE"/>
        </x:patternFill>
      </x:fill>
    </x:dxf>
    <x:dxf>
      <x:font>
        <x:color rgb="FF194F87"/>
      </x:font>
      <x:fill>
        <x:patternFill>
          <x:bgColor rgb="FFDDEBFA"/>
        </x:patternFill>
      </x:fill>
    </x:dxf>
    <x:dxf>
      <x:font>
        <x:color rgb="FF7D5700"/>
      </x:font>
      <x:fill>
        <x:patternFill>
          <x:bgColor rgb="FFFFF2CC"/>
        </x:patternFill>
      </x:fill>
    </x:dxf>
    <x:dxf>
      <x:font>
        <x:color rgb="FF9B3636"/>
      </x:font>
      <x:fill>
        <x:patternFill>
          <x:bgColor rgb="FFF8DEDE"/>
        </x:patternFill>
      </x:fill>
    </x:dxf>
    <x:dxf>
      <x:font>
        <x:color rgb="FF2A663D"/>
      </x:font>
      <x:fill>
        <x:patternFill>
          <x:bgColor rgb="FFE1EFE5"/>
        </x:patternFill>
      </x:fill>
    </x:dxf>
    <x:dxf>
      <x:font>
        <x:color rgb="FF194F87"/>
      </x:font>
      <x:fill>
        <x:patternFill patternType="solid">
          <x:bgColor rgb="FFDDEBFA"/>
        </x:patternFill>
      </x:fill>
    </x:dxf>
    <x:dxf>
      <x:font>
        <x:color rgb="FF7D5700"/>
      </x:font>
      <x:fill>
        <x:patternFill patternType="solid">
          <x:bgColor rgb="FFFFF2CC"/>
        </x:patternFill>
      </x:fill>
    </x:dxf>
    <x:dxf>
      <x:font>
        <x:color rgb="FF9B3636"/>
      </x:font>
      <x:fill>
        <x:patternFill patternType="solid">
          <x:bgColor rgb="FFF8DEDE"/>
        </x:patternFill>
      </x:fill>
    </x:dxf>
    <x:dxf>
      <x:font>
        <x:color rgb="FF2A663D"/>
      </x:font>
      <x:fill>
        <x:patternFill patternType="solid">
          <x:bgColor rgb="FFE1EF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3c74368dc74534" /><Relationship Type="http://schemas.openxmlformats.org/officeDocument/2006/relationships/theme" Target="/xl/theme/theme1.xml" Id="Ra389875f5b3b47ab" /><Relationship Type="http://schemas.openxmlformats.org/officeDocument/2006/relationships/sharedStrings" Target="/xl/sharedStrings.xml" Id="Ra7fb3412713149d0" /><Relationship Type="http://schemas.openxmlformats.org/officeDocument/2006/relationships/worksheet" Target="/xl/worksheets/sheet1.xml" Id="R15affa7375114546" /><Relationship Type="http://schemas.openxmlformats.org/officeDocument/2006/relationships/worksheet" Target="/xl/worksheets/sheet2.xml" Id="R83500dd3b84341c0" /><Relationship Type="http://schemas.openxmlformats.org/officeDocument/2006/relationships/worksheet" Target="/xl/worksheets/sheet3.xml" Id="Rb3434fd7a4964931" /><Relationship Type="http://schemas.openxmlformats.org/officeDocument/2006/relationships/worksheet" Target="/xl/worksheets/sheet4.xml" Id="R72c9a3dbbe65405e" /><Relationship Type="http://schemas.openxmlformats.org/officeDocument/2006/relationships/worksheet" Target="/xl/worksheets/sheet5.xml" Id="Rc3ed512ea6a646b2" /><Relationship Type="http://schemas.openxmlformats.org/officeDocument/2006/relationships/worksheet" Target="/xl/worksheets/sheet6.xml" Id="R5e5141e95e7d4873" /><Relationship Type="http://schemas.openxmlformats.org/officeDocument/2006/relationships/worksheet" Target="/xl/worksheets/sheet7.xml" Id="R4f0a98758aea4095" /><Relationship Type="http://schemas.openxmlformats.org/officeDocument/2006/relationships/worksheet" Target="/xl/worksheets/sheet8.xml" Id="R88053429904d4c59" /></Relationships>
</file>

<file path=xl/tables/table1.xml><?xml version="1.0" encoding="utf-8"?>
<x:table xmlns:x="http://schemas.openxmlformats.org/spreadsheetml/2006/main" id="25" name="Items" displayName="Items" ref="A5:R133" headerRowCount="1" totalsRowCount="0" totalsRowShown="0">
  <x:tableColumns count="18">
    <x:tableColumn id="1" name="ID"/>
    <x:tableColumn id="2" name="名称"/>
    <x:tableColumn id="3" name="品质"/>
    <x:tableColumn id="4" name="基础分"/>
    <x:tableColumn id="5" name="获取方式"/>
    <x:tableColumn id="6" name="是否进入三选一"/>
    <x:tableColumn id="7" name="存续"/>
    <x:tableColumn id="8" name="触发时机"/>
    <x:tableColumn id="9" name="效果"/>
    <x:tableColumn id="10" name="次数与边界"/>
    <x:tableColumn id="11" name="主流派"/>
    <x:tableColumn id="12" name="标签"/>
    <x:tableColumn id="13" name="外观形状"/>
    <x:tableColumn id="14" name="标准形状"/>
    <x:tableColumn id="15" name="原表参考"/>
    <x:tableColumn id="16" name="测试批次"/>
    <x:tableColumn id="17" name="构筑定位"/>
    <x:tableColumn id="18" name="共通搭配／使用条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6" name="Relics" displayName="Relics" ref="A5:H66" headerRowCount="1" totalsRowCount="0" totalsRowShown="0">
  <x:tableColumns count="8">
    <x:tableColumn id="1" name="ID"/>
    <x:tableColumn id="2" name="名称"/>
    <x:tableColumn id="3" name="品质"/>
    <x:tableColumn id="4" name="触发时机"/>
    <x:tableColumn id="5" name="效果"/>
    <x:tableColumn id="6" name="次数与边界"/>
    <x:tableColumn id="7" name="主流派"/>
    <x:tableColumn id="8" name="原表参考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7" name="Builds" displayName="Builds" ref="A5:L18" headerRowCount="1" totalsRowCount="0" totalsRowShown="0">
  <x:tableColumns count="12">
    <x:tableColumn id="1" name="流派"/>
    <x:tableColumn id="2" name="得分方式"/>
    <x:tableColumn id="3" name="起步组件"/>
    <x:tableColumn id="4" name="中期组件"/>
    <x:tableColumn id="5" name="核心"/>
    <x:tableColumn id="6" name="推荐遗物"/>
    <x:tableColumn id="7" name="玩家如何安排接触"/>
    <x:tableColumn id="8" name="跨流派搭配"/>
    <x:tableColumn id="9" name="代价与冲突"/>
    <x:tableColumn id="10" name="16件样本比例"/>
    <x:tableColumn id="11" name="局部算例"/>
    <x:tableColumn id="12" name="首测候选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8" name="Rules" displayName="Rules" ref="A5:C52" headerRowCount="1" totalsRowCount="0" totalsRowShown="0">
  <x:tableColumns count="3">
    <x:tableColumn id="1" name="状态"/>
    <x:tableColumn id="2" name="条目"/>
    <x:tableColumn id="3" name="内容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1" name="Mappings" displayName="Mappings" ref="A5:D20" headerRowCount="1" totalsRowCount="0" totalsRowShown="0">
  <x:tableColumns count="4">
    <x:tableColumn id="1" name="原表机制"/>
    <x:tableColumn id="2" name="本作设计"/>
    <x:tableColumn id="3" name="适配说明"/>
    <x:tableColumn id="4" name="参考条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29" name="ScoreExamples" displayName="ScoreExamples" ref="A5:G19" headerRowCount="1" totalsRowCount="0" totalsRowShown="0">
  <x:tableColumns count="7">
    <x:tableColumn id="1" name="算例"/>
    <x:tableColumn id="2" name="冻结分值F"/>
    <x:tableColumn id="3" name="结算加分A"/>
    <x:tableColumn id="4" name="结算倍率增量M"/>
    <x:tableColumn id="5" name="直接计分E"/>
    <x:tableColumn id="6" name="计算结果"/>
    <x:tableColumn id="7" name="说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30" name="ReviewLog" displayName="ReviewLog" ref="A5:J431" headerRowCount="1" totalsRowCount="0" totalsRowShown="0">
  <x:tableColumns count="10">
    <x:tableColumn id="1" name="类别"/>
    <x:tableColumn id="2" name="原ID"/>
    <x:tableColumn id="3" name="原名称"/>
    <x:tableColumn id="4" name="决策"/>
    <x:tableColumn id="5" name="该版本名称／状态"/>
    <x:tableColumn id="6" name="职责合并至"/>
    <x:tableColumn id="7" name="判断依据"/>
    <x:tableColumn id="8" name="修改前效果"/>
    <x:tableColumn id="9" name="该版本效果"/>
    <x:tableColumn id="10" name="版本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24" name="ResourceBalances" displayName="ResourceBalances" ref="A5:L18" headerRowCount="1" totalsRowCount="0" totalsRowShown="0">
  <x:tableColumns count="12">
    <x:tableColumn id="1" name="条件算例"/>
    <x:tableColumn id="2" name="运行前提"/>
    <x:tableColumn id="3" name="永久新增"/>
    <x:tableColumn id="4" name="永久消耗"/>
    <x:tableColumn id="5" name="临时生成"/>
    <x:tableColumn id="6" name="临时消耗"/>
    <x:tableColumn id="7" name="水珠生成"/>
    <x:tableColumn id="8" name="水珠消耗"/>
    <x:tableColumn id="9" name="永久净变化"/>
    <x:tableColumn id="10" name="临时净新增"/>
    <x:tableColumn id="11" name="水珠净变化"/>
    <x:tableColumn id="12" name="解释与取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8e16aa456054a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d8d0c23426d45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84b837fc26d4ff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f2845f112b643d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700b90c118e454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20c7ee6145074b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10d911f0bde41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55c07504f0d4961" /></Relationships>
</file>

<file path=xl/worksheets/sheet1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9" hidden="0" customWidth="1"/>
    <x:col min="4" max="4" width="9" hidden="0" customWidth="1"/>
    <x:col min="5" max="5" width="53" hidden="0" customWidth="1"/>
    <x:col min="6" max="6" width="16" hidden="0" customWidth="1"/>
    <x:col min="7" max="7" width="10" hidden="0" customWidth="1"/>
    <x:col min="8" max="8" width="16" hidden="0" customWidth="1"/>
    <x:col min="9" max="9" width="62" hidden="0" customWidth="1"/>
    <x:col min="10" max="10" width="35" hidden="0" customWidth="1"/>
    <x:col min="11" max="11" width="10" hidden="0" customWidth="1"/>
    <x:col min="12" max="12" width="28" hidden="0" customWidth="1"/>
    <x:col min="13" max="13" width="16" hidden="0" customWidth="1"/>
    <x:col min="14" max="14" width="13" hidden="0" customWidth="1"/>
    <x:col min="15" max="15" width="42" hidden="0" customWidth="1"/>
    <x:col min="16" max="16" width="14" hidden="0" customWidth="1"/>
    <x:col min="17" max="17" width="15" hidden="0" customWidth="1"/>
    <x:col min="18" max="18" width="67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6" t="str">
        <x:v>物品总表 · V7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1"/>
      <x:c r="O2" s="61"/>
      <x:c r="P2" s="61"/>
      <x:c r="Q2" s="61"/>
      <x:c r="R2" s="61"/>
    </x:row>
    <x:row r="3" ht="36" customHeight="1">
      <x:c r="A3" s="64" t="str">
        <x:v>128件物品，98件进入三选一；含6件中立物品、38件标注共通搭配的物品。筛选“主流派＝中立”查看中立组；右侧新增构筑定位与搭配说明。</x:v>
      </x:c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5"/>
      <x:c r="O3" s="65"/>
      <x:c r="P3" s="65"/>
      <x:c r="Q3" s="65"/>
      <x:c r="R3" s="65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  <x:c r="M4" s="9"/>
      <x:c r="N4" s="29"/>
      <x:c r="O4" s="29"/>
      <x:c r="P4" s="29"/>
    </x:row>
    <x:row r="5" ht="40" customHeight="1">
      <x:c r="A5" s="123" t="str">
        <x:v>ID</x:v>
      </x:c>
      <x:c r="B5" s="123" t="str">
        <x:v>名称</x:v>
      </x:c>
      <x:c r="C5" s="123" t="str">
        <x:v>品质</x:v>
      </x:c>
      <x:c r="D5" s="123" t="str">
        <x:v>基础分</x:v>
      </x:c>
      <x:c r="E5" s="123" t="str">
        <x:v>获取方式</x:v>
      </x:c>
      <x:c r="F5" s="123" t="str">
        <x:v>是否进入三选一</x:v>
      </x:c>
      <x:c r="G5" s="123" t="str">
        <x:v>存续</x:v>
      </x:c>
      <x:c r="H5" s="123" t="str">
        <x:v>触发时机</x:v>
      </x:c>
      <x:c r="I5" s="123" t="str">
        <x:v>效果</x:v>
      </x:c>
      <x:c r="J5" s="123" t="str">
        <x:v>次数与边界</x:v>
      </x:c>
      <x:c r="K5" s="123" t="str">
        <x:v>主流派</x:v>
      </x:c>
      <x:c r="L5" s="123" t="str">
        <x:v>标签</x:v>
      </x:c>
      <x:c r="M5" s="123" t="str">
        <x:v>外观形状</x:v>
      </x:c>
      <x:c r="N5" s="123" t="str">
        <x:v>标准形状</x:v>
      </x:c>
      <x:c r="O5" s="123" t="str">
        <x:v>原表参考</x:v>
      </x:c>
      <x:c r="P5" s="123" t="str">
        <x:v>测试批次</x:v>
      </x:c>
      <x:c r="Q5" s="123" t="str">
        <x:v>构筑定位</x:v>
      </x:c>
      <x:c r="R5" s="123" t="str">
        <x:v>共通搭配／使用条件</x:v>
      </x:c>
    </x:row>
    <x:row r="6" ht="30" customHeight="1">
      <x:c r="A6" s="128" t="str">
        <x:v>I001</x:v>
      </x:c>
      <x:c r="B6" s="128" t="str">
        <x:v>面包</x:v>
      </x:c>
      <x:c r="C6" s="128" t="str">
        <x:v>普通</x:v>
      </x:c>
      <x:c r="D6" s="129" t="n">
        <x:v>2</x:v>
      </x:c>
      <x:c r="E6" s="128" t="str">
        <x:v>三选一</x:v>
      </x:c>
      <x:c r="F6" s="130" t="str">
        <x:v>是</x:v>
      </x:c>
      <x:c r="G6" s="130" t="str">
        <x:v>永久</x:v>
      </x:c>
      <x:c r="H6" s="128" t="str">
        <x:v>被消耗时</x:v>
      </x:c>
      <x:c r="I6" s="128" t="str">
        <x:v>被烹饪物品消耗时，直接计分4。</x:v>
      </x:c>
      <x:c r="J6" s="128" t="str">
        <x:v>同一物品每回合限触发1次</x:v>
      </x:c>
      <x:c r="K6" s="128" t="str">
        <x:v>烹饪</x:v>
      </x:c>
      <x:c r="L6" s="128" t="str">
        <x:v>食物、食材</x:v>
      </x:c>
      <x:c r="M6" s="128" t="str">
        <x:v>圆角长方形</x:v>
      </x:c>
      <x:c r="N6" s="128" t="str">
        <x:v>长条形</x:v>
      </x:c>
      <x:c r="O6" s="128" t="str">
        <x:v>Bread（触发器!D6）</x:v>
      </x:c>
      <x:c r="P6" s="128" t="str">
        <x:v>首测候选</x:v>
      </x:c>
      <x:c r="Q6" s="128" t="str">
        <x:v>流派组件</x:v>
      </x:c>
      <x:c r="R6" s="128" t="str">
        <x:v>—</x:v>
      </x:c>
    </x:row>
    <x:row r="7" ht="30" customHeight="1">
      <x:c r="A7" s="134" t="str">
        <x:v>I002</x:v>
      </x:c>
      <x:c r="B7" s="134" t="str">
        <x:v>番茄</x:v>
      </x:c>
      <x:c r="C7" s="134" t="str">
        <x:v>普通</x:v>
      </x:c>
      <x:c r="D7" s="135" t="n">
        <x:v>2</x:v>
      </x:c>
      <x:c r="E7" s="134" t="str">
        <x:v>三选一</x:v>
      </x:c>
      <x:c r="F7" s="136" t="str">
        <x:v>是</x:v>
      </x:c>
      <x:c r="G7" s="136" t="str">
        <x:v>永久</x:v>
      </x:c>
      <x:c r="H7" s="134" t="str">
        <x:v>结算时</x:v>
      </x:c>
      <x:c r="I7" s="134" t="str">
        <x:v>结算时，与自身接触的其他番茄每有1件，自身本回合分值+3。</x:v>
      </x:c>
      <x:c r="J7" s="134" t="str">
        <x:v>最多计3个</x:v>
      </x:c>
      <x:c r="K7" s="134" t="str">
        <x:v>烹饪</x:v>
      </x:c>
      <x:c r="L7" s="134" t="str">
        <x:v>食物、食材</x:v>
      </x:c>
      <x:c r="M7" s="134" t="str">
        <x:v>圆形</x:v>
      </x:c>
      <x:c r="N7" s="134" t="str">
        <x:v>圆形</x:v>
      </x:c>
      <x:c r="O7" s="134" t="str">
        <x:v>Tomato（触发器!D27）</x:v>
      </x:c>
      <x:c r="P7" s="134" t="str">
        <x:v>扩展</x:v>
      </x:c>
      <x:c r="Q7" s="134" t="str">
        <x:v>流派组件</x:v>
      </x:c>
      <x:c r="R7" s="134" t="str">
        <x:v>—</x:v>
      </x:c>
    </x:row>
    <x:row r="8" ht="30" customHeight="1">
      <x:c r="A8" s="128" t="str">
        <x:v>I003</x:v>
      </x:c>
      <x:c r="B8" s="128" t="str">
        <x:v>奶酪</x:v>
      </x:c>
      <x:c r="C8" s="128" t="str">
        <x:v>优秀</x:v>
      </x:c>
      <x:c r="D8" s="129" t="n">
        <x:v>3</x:v>
      </x:c>
      <x:c r="E8" s="128" t="str">
        <x:v>三选一</x:v>
      </x:c>
      <x:c r="F8" s="130" t="str">
        <x:v>是</x:v>
      </x:c>
      <x:c r="G8" s="130" t="str">
        <x:v>永久</x:v>
      </x:c>
      <x:c r="H8" s="128" t="str">
        <x:v>结算结束时</x:v>
      </x:c>
      <x:c r="I8" s="128" t="str">
        <x:v>结算结束时，若存活且本回合被烹饪物品增值过，自身永久基础分+1。</x:v>
      </x:c>
      <x:c r="J8" s="128" t="str">
        <x:v>每回合限触发1次；永久累计+8封顶</x:v>
      </x:c>
      <x:c r="K8" s="128" t="str">
        <x:v>烹饪</x:v>
      </x:c>
      <x:c r="L8" s="128" t="str">
        <x:v>食物、食材、成长</x:v>
      </x:c>
      <x:c r="M8" s="128" t="str">
        <x:v>三角形</x:v>
      </x:c>
      <x:c r="N8" s="128" t="str">
        <x:v>三角形</x:v>
      </x:c>
      <x:c r="O8" s="128" t="str">
        <x:v>Cheese（触发器!D38）</x:v>
      </x:c>
      <x:c r="P8" s="128" t="str">
        <x:v>首测候选</x:v>
      </x:c>
      <x:c r="Q8" s="128" t="str">
        <x:v>流派组件</x:v>
      </x:c>
      <x:c r="R8" s="128" t="str">
        <x:v>—</x:v>
      </x:c>
    </x:row>
    <x:row r="9" ht="38" customHeight="1">
      <x:c r="A9" s="134" t="str">
        <x:v>I004</x:v>
      </x:c>
      <x:c r="B9" s="134" t="str">
        <x:v>平底锅</x:v>
      </x:c>
      <x:c r="C9" s="134" t="str">
        <x:v>优秀</x:v>
      </x:c>
      <x:c r="D9" s="135" t="n">
        <x:v>2</x:v>
      </x:c>
      <x:c r="E9" s="134" t="str">
        <x:v>三选一</x:v>
      </x:c>
      <x:c r="F9" s="136" t="str">
        <x:v>是</x:v>
      </x:c>
      <x:c r="G9" s="136" t="str">
        <x:v>永久</x:v>
      </x:c>
      <x:c r="H9" s="134" t="str">
        <x:v>接触时</x:v>
      </x:c>
      <x:c r="I9" s="134" t="str">
        <x:v>接触食材时，消耗该食材，生成1份热餐。</x:v>
      </x:c>
      <x:c r="J9" s="134" t="str">
        <x:v>每回合限触发1次；餐食不是食材</x:v>
      </x:c>
      <x:c r="K9" s="134" t="str">
        <x:v>烹饪</x:v>
      </x:c>
      <x:c r="L9" s="134" t="str">
        <x:v>烹饪、工具、生成者</x:v>
      </x:c>
      <x:c r="M9" s="134" t="str">
        <x:v>浅碟形</x:v>
      </x:c>
      <x:c r="N9" s="134" t="str">
        <x:v>凹槽形</x:v>
      </x:c>
      <x:c r="O9" s="134" t="str">
        <x:v>Chef's Pan（触发器!D39）</x:v>
      </x:c>
      <x:c r="P9" s="134" t="str">
        <x:v>首测候选</x:v>
      </x:c>
      <x:c r="Q9" s="134" t="str">
        <x:v>共通物品</x:v>
      </x:c>
      <x:c r="R9" s="134" t="str">
        <x:v>种植／牧场→烹饪：葡萄、苹果、谷穗、蛋、牛奶等食材均可做热餐；雏鸡与羊毛不是食材。</x:v>
      </x:c>
    </x:row>
    <x:row r="10" ht="30" customHeight="1">
      <x:c r="A10" s="128" t="str">
        <x:v>I005</x:v>
      </x:c>
      <x:c r="B10" s="128" t="str">
        <x:v>盐罐</x:v>
      </x:c>
      <x:c r="C10" s="128" t="str">
        <x:v>普通</x:v>
      </x:c>
      <x:c r="D10" s="129" t="n">
        <x:v>1</x:v>
      </x:c>
      <x:c r="E10" s="128" t="str">
        <x:v>三选一</x:v>
      </x:c>
      <x:c r="F10" s="130" t="str">
        <x:v>是</x:v>
      </x:c>
      <x:c r="G10" s="130" t="str">
        <x:v>永久</x:v>
      </x:c>
      <x:c r="H10" s="128" t="str">
        <x:v>接触时</x:v>
      </x:c>
      <x:c r="I10" s="128" t="str">
        <x:v>接触食物时，使该食物本回合分值+2。</x:v>
      </x:c>
      <x:c r="J10" s="128" t="str">
        <x:v>每个目标每回合限触发1次；最多4个</x:v>
      </x:c>
      <x:c r="K10" s="128" t="str">
        <x:v>烹饪</x:v>
      </x:c>
      <x:c r="L10" s="128" t="str">
        <x:v>烹饪、调味</x:v>
      </x:c>
      <x:c r="M10" s="128" t="str">
        <x:v>胶囊形</x:v>
      </x:c>
      <x:c r="N10" s="128" t="str">
        <x:v>长条形</x:v>
      </x:c>
      <x:c r="O10" s="128" t="str">
        <x:v>Toque（增益!D27）</x:v>
      </x:c>
      <x:c r="P10" s="128" t="str">
        <x:v>首测候选</x:v>
      </x:c>
      <x:c r="Q10" s="128" t="str">
        <x:v>流派组件</x:v>
      </x:c>
      <x:c r="R10" s="128" t="str">
        <x:v>—</x:v>
      </x:c>
    </x:row>
    <x:row r="11" ht="38" customHeight="1">
      <x:c r="A11" s="134" t="str">
        <x:v>I006</x:v>
      </x:c>
      <x:c r="B11" s="134" t="str">
        <x:v>餐盘</x:v>
      </x:c>
      <x:c r="C11" s="134" t="str">
        <x:v>优秀</x:v>
      </x:c>
      <x:c r="D11" s="135" t="n">
        <x:v>2</x:v>
      </x:c>
      <x:c r="E11" s="134" t="str">
        <x:v>三选一</x:v>
      </x:c>
      <x:c r="F11" s="136" t="str">
        <x:v>是</x:v>
      </x:c>
      <x:c r="G11" s="136" t="str">
        <x:v>永久</x:v>
      </x:c>
      <x:c r="H11" s="134" t="str">
        <x:v>结算时</x:v>
      </x:c>
      <x:c r="I11" s="134" t="str">
        <x:v>结算时，与自身接触的食物至少有2种不同名称时，使这些食物各结算倍率+50%。</x:v>
      </x:c>
      <x:c r="J11" s="134" t="str">
        <x:v>最多影响4件；食物留在瓶中</x:v>
      </x:c>
      <x:c r="K11" s="134" t="str">
        <x:v>烹饪</x:v>
      </x:c>
      <x:c r="L11" s="134" t="str">
        <x:v>烹饪、辅助</x:v>
      </x:c>
      <x:c r="M11" s="134" t="str">
        <x:v>扁椭圆</x:v>
      </x:c>
      <x:c r="N11" s="134" t="str">
        <x:v>不规则形</x:v>
      </x:c>
      <x:c r="O11" s="134" t="str">
        <x:v>Plate（触发器!D89）</x:v>
      </x:c>
      <x:c r="P11" s="134" t="str">
        <x:v>扩展</x:v>
      </x:c>
      <x:c r="Q11" s="134" t="str">
        <x:v>流派组件</x:v>
      </x:c>
      <x:c r="R11" s="134" t="str">
        <x:v>—</x:v>
      </x:c>
    </x:row>
    <x:row r="12" ht="30" customHeight="1">
      <x:c r="A12" s="128" t="str">
        <x:v>I007</x:v>
      </x:c>
      <x:c r="B12" s="128" t="str">
        <x:v>饕餮嘴</x:v>
      </x:c>
      <x:c r="C12" s="128" t="str">
        <x:v>稀有</x:v>
      </x:c>
      <x:c r="D12" s="129" t="n">
        <x:v>1</x:v>
      </x:c>
      <x:c r="E12" s="128" t="str">
        <x:v>三选一</x:v>
      </x:c>
      <x:c r="F12" s="130" t="str">
        <x:v>是</x:v>
      </x:c>
      <x:c r="G12" s="130" t="str">
        <x:v>永久</x:v>
      </x:c>
      <x:c r="H12" s="128" t="str">
        <x:v>接触时</x:v>
      </x:c>
      <x:c r="I12" s="128" t="str">
        <x:v>接触食物时，消耗该食物，直接计分等于其被消耗前的当前分值+8。</x:v>
      </x:c>
      <x:c r="J12" s="128" t="str">
        <x:v>每回合最多2件</x:v>
      </x:c>
      <x:c r="K12" s="128" t="str">
        <x:v>烹饪</x:v>
      </x:c>
      <x:c r="L12" s="128" t="str">
        <x:v>烹饪、消耗者</x:v>
      </x:c>
      <x:c r="M12" s="128" t="str">
        <x:v>月牙形</x:v>
      </x:c>
      <x:c r="N12" s="128" t="str">
        <x:v>弧形</x:v>
      </x:c>
      <x:c r="O12" s="128" t="str">
        <x:v>Hungry Mouth（触发器!D45）</x:v>
      </x:c>
      <x:c r="P12" s="128" t="str">
        <x:v>首测候选</x:v>
      </x:c>
      <x:c r="Q12" s="128" t="str">
        <x:v>共通物品</x:v>
      </x:c>
      <x:c r="R12" s="128" t="str">
        <x:v>种植／牧场／烹饪→消费：消耗食物计分；羊毛、雏鸡和工具不在食物范围。</x:v>
      </x:c>
    </x:row>
    <x:row r="13" ht="38" customHeight="1">
      <x:c r="A13" s="134" t="str">
        <x:v>I010</x:v>
      </x:c>
      <x:c r="B13" s="134" t="str">
        <x:v>宴会钟</x:v>
      </x:c>
      <x:c r="C13" s="134" t="str">
        <x:v>史诗</x:v>
      </x:c>
      <x:c r="D13" s="135" t="n">
        <x:v>3</x:v>
      </x:c>
      <x:c r="E13" s="134" t="str">
        <x:v>三选一</x:v>
      </x:c>
      <x:c r="F13" s="136" t="str">
        <x:v>是</x:v>
      </x:c>
      <x:c r="G13" s="136" t="str">
        <x:v>永久</x:v>
      </x:c>
      <x:c r="H13" s="134" t="str">
        <x:v>结算时</x:v>
      </x:c>
      <x:c r="I13" s="134" t="str">
        <x:v>结算时，本回合被烹饪物品消耗过至少2种不同食材时，所有存活餐食结算倍率+50%。</x:v>
      </x:c>
      <x:c r="J13" s="134" t="str">
        <x:v>每回合限触发1次</x:v>
      </x:c>
      <x:c r="K13" s="134" t="str">
        <x:v>烹饪</x:v>
      </x:c>
      <x:c r="L13" s="134" t="str">
        <x:v>烹饪、结算核心</x:v>
      </x:c>
      <x:c r="M13" s="134" t="str">
        <x:v>钟形</x:v>
      </x:c>
      <x:c r="N13" s="134" t="str">
        <x:v>不规则形</x:v>
      </x:c>
      <x:c r="O13" s="134" t="str">
        <x:v>Plate（触发器!D89）；Cash Register（触发器!D36）</x:v>
      </x:c>
      <x:c r="P13" s="134" t="str">
        <x:v>扩展</x:v>
      </x:c>
      <x:c r="Q13" s="134" t="str">
        <x:v>流派组件</x:v>
      </x:c>
      <x:c r="R13" s="134" t="str">
        <x:v>—</x:v>
      </x:c>
    </x:row>
    <x:row r="14" ht="30" customHeight="1">
      <x:c r="A14" s="128" t="str">
        <x:v>I011</x:v>
      </x:c>
      <x:c r="B14" s="128" t="str">
        <x:v>雨云</x:v>
      </x:c>
      <x:c r="C14" s="128" t="str">
        <x:v>普通</x:v>
      </x:c>
      <x:c r="D14" s="129" t="n">
        <x:v>1</x:v>
      </x:c>
      <x:c r="E14" s="128" t="str">
        <x:v>三选一</x:v>
      </x:c>
      <x:c r="F14" s="130" t="str">
        <x:v>是</x:v>
      </x:c>
      <x:c r="G14" s="130" t="str">
        <x:v>永久</x:v>
      </x:c>
      <x:c r="H14" s="128" t="str">
        <x:v>回合开始入瓶时</x:v>
      </x:c>
      <x:c r="I14" s="128" t="str">
        <x:v>回合开始入瓶时，生成2颗水珠。</x:v>
      </x:c>
      <x:c r="J14" s="128" t="str">
        <x:v>每个雨云每回合限触发1次；复活不触发</x:v>
      </x:c>
      <x:c r="K14" s="128" t="str">
        <x:v>种植</x:v>
      </x:c>
      <x:c r="L14" s="128" t="str">
        <x:v>植物辅助、生成者</x:v>
      </x:c>
      <x:c r="M14" s="128" t="str">
        <x:v>云朵形</x:v>
      </x:c>
      <x:c r="N14" s="128" t="str">
        <x:v>不规则形</x:v>
      </x:c>
      <x:c r="O14" s="128" t="str">
        <x:v>Stormy Weather（触发器!D96）</x:v>
      </x:c>
      <x:c r="P14" s="128" t="str">
        <x:v>首测候选</x:v>
      </x:c>
      <x:c r="Q14" s="128" t="str">
        <x:v>共通物品</x:v>
      </x:c>
      <x:c r="R14" s="128" t="str">
        <x:v>种植／元素：为植物和蒸汽锅炉供水；多余水珠可由海绵消耗。</x:v>
      </x:c>
    </x:row>
    <x:row r="15" ht="30" customHeight="1">
      <x:c r="A15" s="134" t="str">
        <x:v>I012</x:v>
      </x:c>
      <x:c r="B15" s="134" t="str">
        <x:v>幼苗</x:v>
      </x:c>
      <x:c r="C15" s="134" t="str">
        <x:v>普通</x:v>
      </x:c>
      <x:c r="D15" s="135" t="n">
        <x:v>1</x:v>
      </x:c>
      <x:c r="E15" s="134" t="str">
        <x:v>三选一</x:v>
      </x:c>
      <x:c r="F15" s="136" t="str">
        <x:v>是</x:v>
      </x:c>
      <x:c r="G15" s="136" t="str">
        <x:v>永久</x:v>
      </x:c>
      <x:c r="H15" s="134" t="str">
        <x:v>接触时</x:v>
      </x:c>
      <x:c r="I15" s="134" t="str">
        <x:v>接触水珠时，永久变形为花株。</x:v>
      </x:c>
      <x:c r="J15" s="134" t="str">
        <x:v>同一实例仅变形1次；不消耗水珠</x:v>
      </x:c>
      <x:c r="K15" s="134" t="str">
        <x:v>种植</x:v>
      </x:c>
      <x:c r="L15" s="134" t="str">
        <x:v>植物、成长</x:v>
      </x:c>
      <x:c r="M15" s="134" t="str">
        <x:v>小三角形</x:v>
      </x:c>
      <x:c r="N15" s="134" t="str">
        <x:v>三角形</x:v>
      </x:c>
      <x:c r="O15" s="134" t="str">
        <x:v>Seedling（触发器!D24）</x:v>
      </x:c>
      <x:c r="P15" s="134" t="str">
        <x:v>首测候选</x:v>
      </x:c>
      <x:c r="Q15" s="134" t="str">
        <x:v>流派组件</x:v>
      </x:c>
      <x:c r="R15" s="134" t="str">
        <x:v>—</x:v>
      </x:c>
    </x:row>
    <x:row r="16" ht="30" customHeight="1">
      <x:c r="A16" s="128" t="str">
        <x:v>I013</x:v>
      </x:c>
      <x:c r="B16" s="128" t="str">
        <x:v>南瓜苗</x:v>
      </x:c>
      <x:c r="C16" s="128" t="str">
        <x:v>优秀</x:v>
      </x:c>
      <x:c r="D16" s="129" t="n">
        <x:v>3</x:v>
      </x:c>
      <x:c r="E16" s="128" t="str">
        <x:v>三选一</x:v>
      </x:c>
      <x:c r="F16" s="130" t="str">
        <x:v>是</x:v>
      </x:c>
      <x:c r="G16" s="130" t="str">
        <x:v>永久</x:v>
      </x:c>
      <x:c r="H16" s="128" t="str">
        <x:v>接触时</x:v>
      </x:c>
      <x:c r="I16" s="128" t="str">
        <x:v>接触水珠时，消耗该水珠，自身本回合分值+3。</x:v>
      </x:c>
      <x:c r="J16" s="128" t="str">
        <x:v>每回合最多消耗3颗水珠</x:v>
      </x:c>
      <x:c r="K16" s="128" t="str">
        <x:v>种植</x:v>
      </x:c>
      <x:c r="L16" s="128" t="str">
        <x:v>植物、开花</x:v>
      </x:c>
      <x:c r="M16" s="128" t="str">
        <x:v>宽椭圆</x:v>
      </x:c>
      <x:c r="N16" s="128" t="str">
        <x:v>不规则形</x:v>
      </x:c>
      <x:c r="O16" s="128" t="str">
        <x:v>Pumpkin（触发器!D22）</x:v>
      </x:c>
      <x:c r="P16" s="128" t="str">
        <x:v>首测候选</x:v>
      </x:c>
      <x:c r="Q16" s="128" t="str">
        <x:v>流派组件</x:v>
      </x:c>
      <x:c r="R16" s="128" t="str">
        <x:v>—</x:v>
      </x:c>
    </x:row>
    <x:row r="17" ht="30" customHeight="1">
      <x:c r="A17" s="134" t="str">
        <x:v>I014</x:v>
      </x:c>
      <x:c r="B17" s="134" t="str">
        <x:v>葡萄藤</x:v>
      </x:c>
      <x:c r="C17" s="134" t="str">
        <x:v>优秀</x:v>
      </x:c>
      <x:c r="D17" s="135" t="n">
        <x:v>2</x:v>
      </x:c>
      <x:c r="E17" s="134" t="str">
        <x:v>三选一</x:v>
      </x:c>
      <x:c r="F17" s="136" t="str">
        <x:v>是</x:v>
      </x:c>
      <x:c r="G17" s="136" t="str">
        <x:v>永久</x:v>
      </x:c>
      <x:c r="H17" s="134" t="str">
        <x:v>接触时</x:v>
      </x:c>
      <x:c r="I17" s="134" t="str">
        <x:v>接触水珠时，消耗该水珠，生成2串葡萄。</x:v>
      </x:c>
      <x:c r="J17" s="134" t="str">
        <x:v>每回合限触发1次</x:v>
      </x:c>
      <x:c r="K17" s="134" t="str">
        <x:v>种植</x:v>
      </x:c>
      <x:c r="L17" s="134" t="str">
        <x:v>植物、开花、生成者</x:v>
      </x:c>
      <x:c r="M17" s="134" t="str">
        <x:v>长条形</x:v>
      </x:c>
      <x:c r="N17" s="134" t="str">
        <x:v>长条形</x:v>
      </x:c>
      <x:c r="O17" s="134" t="str">
        <x:v>Grape Vine（触发器!D44）</x:v>
      </x:c>
      <x:c r="P17" s="134" t="str">
        <x:v>首测候选</x:v>
      </x:c>
      <x:c r="Q17" s="134" t="str">
        <x:v>流派组件</x:v>
      </x:c>
      <x:c r="R17" s="134" t="str">
        <x:v>—</x:v>
      </x:c>
    </x:row>
    <x:row r="18" ht="38" customHeight="1">
      <x:c r="A18" s="128" t="str">
        <x:v>I015</x:v>
      </x:c>
      <x:c r="B18" s="128" t="str">
        <x:v>果树</x:v>
      </x:c>
      <x:c r="C18" s="128" t="str">
        <x:v>稀有</x:v>
      </x:c>
      <x:c r="D18" s="129" t="n">
        <x:v>3</x:v>
      </x:c>
      <x:c r="E18" s="128" t="str">
        <x:v>三选一</x:v>
      </x:c>
      <x:c r="F18" s="130" t="str">
        <x:v>是</x:v>
      </x:c>
      <x:c r="G18" s="130" t="str">
        <x:v>永久</x:v>
      </x:c>
      <x:c r="H18" s="128" t="str">
        <x:v>接触时／结算结束时</x:v>
      </x:c>
      <x:c r="I18" s="128" t="str">
        <x:v>接触水珠时，消耗该水珠，生成1颗苹果。结算结束时，若自身存活且本回合成功生成过苹果，自身永久基础分+1。</x:v>
      </x:c>
      <x:c r="J18" s="128" t="str">
        <x:v>每回合最多生成1颗苹果、成长1次；自身成长累计+10封顶</x:v>
      </x:c>
      <x:c r="K18" s="128" t="str">
        <x:v>种植</x:v>
      </x:c>
      <x:c r="L18" s="128" t="str">
        <x:v>植物、开花、成长、生成者</x:v>
      </x:c>
      <x:c r="M18" s="128" t="str">
        <x:v>树冠形</x:v>
      </x:c>
      <x:c r="N18" s="128" t="str">
        <x:v>不规则形</x:v>
      </x:c>
      <x:c r="O18" s="128" t="str">
        <x:v>Tree（触发器!D28）；Harvester（触发器!D114）</x:v>
      </x:c>
      <x:c r="P18" s="128" t="str">
        <x:v>扩展</x:v>
      </x:c>
      <x:c r="Q18" s="128" t="str">
        <x:v>流派组件</x:v>
      </x:c>
      <x:c r="R18" s="128" t="str">
        <x:v>—</x:v>
      </x:c>
    </x:row>
    <x:row r="19" ht="30" customHeight="1">
      <x:c r="A19" s="134" t="str">
        <x:v>I016</x:v>
      </x:c>
      <x:c r="B19" s="134" t="str">
        <x:v>三叶草</x:v>
      </x:c>
      <x:c r="C19" s="134" t="str">
        <x:v>普通</x:v>
      </x:c>
      <x:c r="D19" s="135" t="n">
        <x:v>2</x:v>
      </x:c>
      <x:c r="E19" s="134" t="str">
        <x:v>三选一</x:v>
      </x:c>
      <x:c r="F19" s="136" t="str">
        <x:v>是</x:v>
      </x:c>
      <x:c r="G19" s="136" t="str">
        <x:v>永久</x:v>
      </x:c>
      <x:c r="H19" s="134" t="str">
        <x:v>结算时</x:v>
      </x:c>
      <x:c r="I19" s="134" t="str">
        <x:v>结算时，若自身所在的植物接触组中有至少3件三叶草，自身本回合分值+6。</x:v>
      </x:c>
      <x:c r="J19" s="134" t="str">
        <x:v>每件物品每回合限触发1次</x:v>
      </x:c>
      <x:c r="K19" s="134" t="str">
        <x:v>种植</x:v>
      </x:c>
      <x:c r="L19" s="134" t="str">
        <x:v>植物、开花、成簇</x:v>
      </x:c>
      <x:c r="M19" s="134" t="str">
        <x:v>三瓣形</x:v>
      </x:c>
      <x:c r="N19" s="134" t="str">
        <x:v>不规则形</x:v>
      </x:c>
      <x:c r="O19" s="134" t="str">
        <x:v>Clover（触发器!D40）</x:v>
      </x:c>
      <x:c r="P19" s="134" t="str">
        <x:v>扩展</x:v>
      </x:c>
      <x:c r="Q19" s="134" t="str">
        <x:v>流派组件</x:v>
      </x:c>
      <x:c r="R19" s="134" t="str">
        <x:v>—</x:v>
      </x:c>
    </x:row>
    <x:row r="20" ht="38" customHeight="1">
      <x:c r="A20" s="128" t="str">
        <x:v>I018</x:v>
      </x:c>
      <x:c r="B20" s="128" t="str">
        <x:v>蜜蜂</x:v>
      </x:c>
      <x:c r="C20" s="128" t="str">
        <x:v>普通</x:v>
      </x:c>
      <x:c r="D20" s="129" t="n">
        <x:v>2</x:v>
      </x:c>
      <x:c r="E20" s="128" t="str">
        <x:v>三选一</x:v>
      </x:c>
      <x:c r="F20" s="130" t="str">
        <x:v>是</x:v>
      </x:c>
      <x:c r="G20" s="130" t="str">
        <x:v>永久</x:v>
      </x:c>
      <x:c r="H20" s="128" t="str">
        <x:v>接触时</x:v>
      </x:c>
      <x:c r="I20" s="128" t="str">
        <x:v>接触开花植物时，该植物与自身本回合分值各+1。本回合累计接触3株不同的开花植物后，生成1份蜂蜜。</x:v>
      </x:c>
      <x:c r="J20" s="128" t="str">
        <x:v>每株植物每回合限触发1次；最多增值4株、生成1份蜂蜜</x:v>
      </x:c>
      <x:c r="K20" s="128" t="str">
        <x:v>种植</x:v>
      </x:c>
      <x:c r="L20" s="128" t="str">
        <x:v>动物、植物辅助、生成者</x:v>
      </x:c>
      <x:c r="M20" s="128" t="str">
        <x:v>胶囊形</x:v>
      </x:c>
      <x:c r="N20" s="128" t="str">
        <x:v>长条形</x:v>
      </x:c>
      <x:c r="O20" s="128" t="str">
        <x:v>Butterfly（触发器!D105）；Grape Vine（触发器!D44）</x:v>
      </x:c>
      <x:c r="P20" s="128" t="str">
        <x:v>扩展</x:v>
      </x:c>
      <x:c r="Q20" s="128" t="str">
        <x:v>流派组件</x:v>
      </x:c>
      <x:c r="R20" s="128" t="str">
        <x:v>—</x:v>
      </x:c>
    </x:row>
    <x:row r="21" ht="30" customHeight="1">
      <x:c r="A21" s="134" t="str">
        <x:v>I019</x:v>
      </x:c>
      <x:c r="B21" s="134" t="str">
        <x:v>温室罩</x:v>
      </x:c>
      <x:c r="C21" s="134" t="str">
        <x:v>稀有</x:v>
      </x:c>
      <x:c r="D21" s="135" t="n">
        <x:v>2</x:v>
      </x:c>
      <x:c r="E21" s="134" t="str">
        <x:v>三选一</x:v>
      </x:c>
      <x:c r="F21" s="136" t="str">
        <x:v>是</x:v>
      </x:c>
      <x:c r="G21" s="136" t="str">
        <x:v>永久</x:v>
      </x:c>
      <x:c r="H21" s="134" t="str">
        <x:v>结算时</x:v>
      </x:c>
      <x:c r="I21" s="134" t="str">
        <x:v>结算时，与自身接触的植物各结算倍率+50%。</x:v>
      </x:c>
      <x:c r="J21" s="134" t="str">
        <x:v>最多影响2件；按冻结分值从高到低</x:v>
      </x:c>
      <x:c r="K21" s="134" t="str">
        <x:v>种植</x:v>
      </x:c>
      <x:c r="L21" s="134" t="str">
        <x:v>植物辅助</x:v>
      </x:c>
      <x:c r="M21" s="134" t="str">
        <x:v>拱形</x:v>
      </x:c>
      <x:c r="N21" s="134" t="str">
        <x:v>弧形</x:v>
      </x:c>
      <x:c r="O21" s="134" t="str">
        <x:v>Greenhouse（触发器!D80）</x:v>
      </x:c>
      <x:c r="P21" s="134" t="str">
        <x:v>扩展</x:v>
      </x:c>
      <x:c r="Q21" s="134" t="str">
        <x:v>流派组件</x:v>
      </x:c>
      <x:c r="R21" s="134" t="str">
        <x:v>—</x:v>
      </x:c>
    </x:row>
    <x:row r="22" ht="38" customHeight="1">
      <x:c r="A22" s="128" t="str">
        <x:v>I020</x:v>
      </x:c>
      <x:c r="B22" s="128" t="str">
        <x:v>花盆</x:v>
      </x:c>
      <x:c r="C22" s="128" t="str">
        <x:v>普通</x:v>
      </x:c>
      <x:c r="D22" s="129" t="n">
        <x:v>2</x:v>
      </x:c>
      <x:c r="E22" s="128" t="str">
        <x:v>三选一</x:v>
      </x:c>
      <x:c r="F22" s="130" t="str">
        <x:v>是</x:v>
      </x:c>
      <x:c r="G22" s="130" t="str">
        <x:v>永久</x:v>
      </x:c>
      <x:c r="H22" s="128" t="str">
        <x:v>结算时</x:v>
      </x:c>
      <x:c r="I22" s="128" t="str">
        <x:v>结算时，恰好接触1件植物时，该植物本回合分值+6；接触2件以上时，这些植物各本回合分值+2。</x:v>
      </x:c>
      <x:c r="J22" s="128" t="str">
        <x:v>最多影响3件</x:v>
      </x:c>
      <x:c r="K22" s="128" t="str">
        <x:v>种植</x:v>
      </x:c>
      <x:c r="L22" s="128" t="str">
        <x:v>植物辅助</x:v>
      </x:c>
      <x:c r="M22" s="128" t="str">
        <x:v>梯形</x:v>
      </x:c>
      <x:c r="N22" s="128" t="str">
        <x:v>不规则形</x:v>
      </x:c>
      <x:c r="O22" s="128" t="str">
        <x:v>House Plant（触发器!D82）；Hammock（触发器!D15）</x:v>
      </x:c>
      <x:c r="P22" s="128" t="str">
        <x:v>首测候选</x:v>
      </x:c>
      <x:c r="Q22" s="128" t="str">
        <x:v>流派组件</x:v>
      </x:c>
      <x:c r="R22" s="128" t="str">
        <x:v>—</x:v>
      </x:c>
    </x:row>
    <x:row r="23" ht="38" customHeight="1">
      <x:c r="A23" s="134" t="str">
        <x:v>I021</x:v>
      </x:c>
      <x:c r="B23" s="134" t="str">
        <x:v>鸟巢</x:v>
      </x:c>
      <x:c r="C23" s="134" t="str">
        <x:v>普通</x:v>
      </x:c>
      <x:c r="D23" s="135" t="n">
        <x:v>1</x:v>
      </x:c>
      <x:c r="E23" s="134" t="str">
        <x:v>三选一</x:v>
      </x:c>
      <x:c r="F23" s="136" t="str">
        <x:v>是</x:v>
      </x:c>
      <x:c r="G23" s="136" t="str">
        <x:v>永久</x:v>
      </x:c>
      <x:c r="H23" s="134" t="str">
        <x:v>接触时</x:v>
      </x:c>
      <x:c r="I23" s="134" t="str">
        <x:v>接触母鸡时，生成1颗蛋。</x:v>
      </x:c>
      <x:c r="J23" s="134" t="str">
        <x:v>每个鸟巢每回合最多生成1颗蛋；不消耗母鸡；其他动物不触发</x:v>
      </x:c>
      <x:c r="K23" s="134" t="str">
        <x:v>牧场</x:v>
      </x:c>
      <x:c r="L23" s="134" t="str">
        <x:v>牧场、生成者</x:v>
      </x:c>
      <x:c r="M23" s="134" t="str">
        <x:v>浅碗形</x:v>
      </x:c>
      <x:c r="N23" s="134" t="str">
        <x:v>凹槽形</x:v>
      </x:c>
      <x:c r="O23" s="134" t="str">
        <x:v>Nest（触发器!D20）</x:v>
      </x:c>
      <x:c r="P23" s="134" t="str">
        <x:v>首测候选</x:v>
      </x:c>
      <x:c r="Q23" s="134" t="str">
        <x:v>流派组件</x:v>
      </x:c>
      <x:c r="R23" s="134" t="str">
        <x:v>—</x:v>
      </x:c>
    </x:row>
    <x:row r="24" ht="30" customHeight="1">
      <x:c r="A24" s="128" t="str">
        <x:v>I022</x:v>
      </x:c>
      <x:c r="B24" s="128" t="str">
        <x:v>母鸡</x:v>
      </x:c>
      <x:c r="C24" s="128" t="str">
        <x:v>优秀</x:v>
      </x:c>
      <x:c r="D24" s="129" t="n">
        <x:v>2</x:v>
      </x:c>
      <x:c r="E24" s="128" t="str">
        <x:v>三选一</x:v>
      </x:c>
      <x:c r="F24" s="130" t="str">
        <x:v>是</x:v>
      </x:c>
      <x:c r="G24" s="130" t="str">
        <x:v>永久</x:v>
      </x:c>
      <x:c r="H24" s="128" t="str">
        <x:v>接触时</x:v>
      </x:c>
      <x:c r="I24" s="128" t="str">
        <x:v>接触谷物时，消耗该谷物，生成2颗蛋。</x:v>
      </x:c>
      <x:c r="J24" s="128" t="str">
        <x:v>每回合限触发1次</x:v>
      </x:c>
      <x:c r="K24" s="128" t="str">
        <x:v>牧场</x:v>
      </x:c>
      <x:c r="L24" s="128" t="str">
        <x:v>动物、生成者</x:v>
      </x:c>
      <x:c r="M24" s="128" t="str">
        <x:v>水滴形</x:v>
      </x:c>
      <x:c r="N24" s="128" t="str">
        <x:v>不规则形</x:v>
      </x:c>
      <x:c r="O24" s="128" t="str">
        <x:v>Chicken（触发器!D71）</x:v>
      </x:c>
      <x:c r="P24" s="128" t="str">
        <x:v>首测候选</x:v>
      </x:c>
      <x:c r="Q24" s="128" t="str">
        <x:v>流派组件</x:v>
      </x:c>
      <x:c r="R24" s="128" t="str">
        <x:v>—</x:v>
      </x:c>
    </x:row>
    <x:row r="25" ht="38" customHeight="1">
      <x:c r="A25" s="134" t="str">
        <x:v>I023</x:v>
      </x:c>
      <x:c r="B25" s="134" t="str">
        <x:v>谷穗</x:v>
      </x:c>
      <x:c r="C25" s="134" t="str">
        <x:v>普通</x:v>
      </x:c>
      <x:c r="D25" s="135" t="n">
        <x:v>1</x:v>
      </x:c>
      <x:c r="E25" s="134" t="str">
        <x:v>三选一；生成：麦田（消耗水珠）</x:v>
      </x:c>
      <x:c r="F25" s="136" t="str">
        <x:v>是</x:v>
      </x:c>
      <x:c r="G25" s="136" t="str">
        <x:v>永久</x:v>
      </x:c>
      <x:c r="H25" s="134" t="str">
        <x:v>被消耗时</x:v>
      </x:c>
      <x:c r="I25" s="134" t="str">
        <x:v>被母鸡或奶牛消耗时，使该动物本回合分值+3。</x:v>
      </x:c>
      <x:c r="J25" s="134" t="str">
        <x:v>同一物品每回合限触发1次</x:v>
      </x:c>
      <x:c r="K25" s="134" t="str">
        <x:v>牧场</x:v>
      </x:c>
      <x:c r="L25" s="134" t="str">
        <x:v>谷物、食物、食材</x:v>
      </x:c>
      <x:c r="M25" s="134" t="str">
        <x:v>细长形</x:v>
      </x:c>
      <x:c r="N25" s="134" t="str">
        <x:v>长条形</x:v>
      </x:c>
      <x:c r="O25" s="134" t="str">
        <x:v>Toque（增益!D27）；Harvester（触发器!D114）</x:v>
      </x:c>
      <x:c r="P25" s="134" t="str">
        <x:v>扩展</x:v>
      </x:c>
      <x:c r="Q25" s="134" t="str">
        <x:v>共通物品</x:v>
      </x:c>
      <x:c r="R25" s="134" t="str">
        <x:v>种植→牧场／烹饪：麦田生产谷穗，可喂母鸡、奶牛，也可直接做热餐；两种用途竞争同一实体。</x:v>
      </x:c>
    </x:row>
    <x:row r="26" ht="30" customHeight="1">
      <x:c r="A26" s="128" t="str">
        <x:v>I024</x:v>
      </x:c>
      <x:c r="B26" s="128" t="str">
        <x:v>奶牛</x:v>
      </x:c>
      <x:c r="C26" s="128" t="str">
        <x:v>优秀</x:v>
      </x:c>
      <x:c r="D26" s="129" t="n">
        <x:v>3</x:v>
      </x:c>
      <x:c r="E26" s="128" t="str">
        <x:v>三选一</x:v>
      </x:c>
      <x:c r="F26" s="130" t="str">
        <x:v>是</x:v>
      </x:c>
      <x:c r="G26" s="130" t="str">
        <x:v>永久</x:v>
      </x:c>
      <x:c r="H26" s="128" t="str">
        <x:v>接触时</x:v>
      </x:c>
      <x:c r="I26" s="128" t="str">
        <x:v>接触谷物时，消耗该谷物，生成1瓶牛奶。</x:v>
      </x:c>
      <x:c r="J26" s="128" t="str">
        <x:v>每回合限触发1次</x:v>
      </x:c>
      <x:c r="K26" s="128" t="str">
        <x:v>牧场</x:v>
      </x:c>
      <x:c r="L26" s="128" t="str">
        <x:v>动物、生成者</x:v>
      </x:c>
      <x:c r="M26" s="128" t="str">
        <x:v>长方形</x:v>
      </x:c>
      <x:c r="N26" s="128" t="str">
        <x:v>长条形</x:v>
      </x:c>
      <x:c r="O26" s="128" t="str">
        <x:v>原创</x:v>
      </x:c>
      <x:c r="P26" s="128" t="str">
        <x:v>扩展</x:v>
      </x:c>
      <x:c r="Q26" s="128" t="str">
        <x:v>流派组件</x:v>
      </x:c>
      <x:c r="R26" s="128" t="str">
        <x:v>—</x:v>
      </x:c>
    </x:row>
    <x:row r="27" ht="38" customHeight="1">
      <x:c r="A27" s="134" t="str">
        <x:v>I025</x:v>
      </x:c>
      <x:c r="B27" s="134" t="str">
        <x:v>绵羊</x:v>
      </x:c>
      <x:c r="C27" s="134" t="str">
        <x:v>优秀</x:v>
      </x:c>
      <x:c r="D27" s="135" t="n">
        <x:v>2</x:v>
      </x:c>
      <x:c r="E27" s="134" t="str">
        <x:v>三选一</x:v>
      </x:c>
      <x:c r="F27" s="136" t="str">
        <x:v>是</x:v>
      </x:c>
      <x:c r="G27" s="136" t="str">
        <x:v>永久</x:v>
      </x:c>
      <x:c r="H27" s="134" t="str">
        <x:v>接触时</x:v>
      </x:c>
      <x:c r="I27" s="134" t="str">
        <x:v>接触剪毛剪时，生成1团羊毛。</x:v>
      </x:c>
      <x:c r="J27" s="134" t="str">
        <x:v>每只绵羊每回合最多生成1团羊毛；不消耗剪毛剪；其他工具不触发</x:v>
      </x:c>
      <x:c r="K27" s="134" t="str">
        <x:v>牧场</x:v>
      </x:c>
      <x:c r="L27" s="134" t="str">
        <x:v>动物、生成者</x:v>
      </x:c>
      <x:c r="M27" s="134" t="str">
        <x:v>椭圆形</x:v>
      </x:c>
      <x:c r="N27" s="134" t="str">
        <x:v>不规则形</x:v>
      </x:c>
      <x:c r="O27" s="134" t="str">
        <x:v>原创</x:v>
      </x:c>
      <x:c r="P27" s="134" t="str">
        <x:v>首测候选</x:v>
      </x:c>
      <x:c r="Q27" s="134" t="str">
        <x:v>流派组件</x:v>
      </x:c>
      <x:c r="R27" s="134" t="str">
        <x:v>—</x:v>
      </x:c>
    </x:row>
    <x:row r="28" ht="38" customHeight="1">
      <x:c r="A28" s="128" t="str">
        <x:v>I026</x:v>
      </x:c>
      <x:c r="B28" s="128" t="str">
        <x:v>毛虫</x:v>
      </x:c>
      <x:c r="C28" s="128" t="str">
        <x:v>普通</x:v>
      </x:c>
      <x:c r="D28" s="129" t="n">
        <x:v>1</x:v>
      </x:c>
      <x:c r="E28" s="128" t="str">
        <x:v>三选一</x:v>
      </x:c>
      <x:c r="F28" s="130" t="str">
        <x:v>是</x:v>
      </x:c>
      <x:c r="G28" s="130" t="str">
        <x:v>永久</x:v>
      </x:c>
      <x:c r="H28" s="128" t="str">
        <x:v>结算结束时</x:v>
      </x:c>
      <x:c r="I28" s="128" t="str">
        <x:v>结算结束时，若自身存活，自身成熟进度+1；成熟进度达到3时，永久变形为彩翼蝶。</x:v>
      </x:c>
      <x:c r="J28" s="128" t="str">
        <x:v>每回合成熟进度最多+1；进度永久保留，不增加分值</x:v>
      </x:c>
      <x:c r="K28" s="128" t="str">
        <x:v>牧场</x:v>
      </x:c>
      <x:c r="L28" s="128" t="str">
        <x:v>动物、成长</x:v>
      </x:c>
      <x:c r="M28" s="128" t="str">
        <x:v>短长条形</x:v>
      </x:c>
      <x:c r="N28" s="128" t="str">
        <x:v>长条形</x:v>
      </x:c>
      <x:c r="O28" s="128" t="str">
        <x:v>Caterpillar（触发器!D12）；Butterfly（触发器!D105）</x:v>
      </x:c>
      <x:c r="P28" s="128" t="str">
        <x:v>扩展</x:v>
      </x:c>
      <x:c r="Q28" s="128" t="str">
        <x:v>流派组件</x:v>
      </x:c>
      <x:c r="R28" s="128" t="str">
        <x:v>—</x:v>
      </x:c>
    </x:row>
    <x:row r="29" ht="38" customHeight="1">
      <x:c r="A29" s="134" t="str">
        <x:v>I029</x:v>
      </x:c>
      <x:c r="B29" s="134" t="str">
        <x:v>蛋托</x:v>
      </x:c>
      <x:c r="C29" s="134" t="str">
        <x:v>优秀</x:v>
      </x:c>
      <x:c r="D29" s="135" t="n">
        <x:v>1</x:v>
      </x:c>
      <x:c r="E29" s="134" t="str">
        <x:v>三选一</x:v>
      </x:c>
      <x:c r="F29" s="136" t="str">
        <x:v>是</x:v>
      </x:c>
      <x:c r="G29" s="136" t="str">
        <x:v>永久</x:v>
      </x:c>
      <x:c r="H29" s="134" t="str">
        <x:v>结算时</x:v>
      </x:c>
      <x:c r="I29" s="134" t="str">
        <x:v>结算时，与自身接触的蛋各本回合分值+3；同时与至少2颗蛋接触时，自身本回合分值再+4。</x:v>
      </x:c>
      <x:c r="J29" s="134" t="str">
        <x:v>最多影响3颗；蛋留在瓶中</x:v>
      </x:c>
      <x:c r="K29" s="134" t="str">
        <x:v>牧场</x:v>
      </x:c>
      <x:c r="L29" s="134" t="str">
        <x:v>牧场、辅助</x:v>
      </x:c>
      <x:c r="M29" s="134" t="str">
        <x:v>凹槽长条</x:v>
      </x:c>
      <x:c r="N29" s="134" t="str">
        <x:v>凹槽形</x:v>
      </x:c>
      <x:c r="O29" s="134" t="str">
        <x:v>Egg Carton（触发器!D78）</x:v>
      </x:c>
      <x:c r="P29" s="134" t="str">
        <x:v>扩展</x:v>
      </x:c>
      <x:c r="Q29" s="134" t="str">
        <x:v>流派组件</x:v>
      </x:c>
      <x:c r="R29" s="134" t="str">
        <x:v>—</x:v>
      </x:c>
    </x:row>
    <x:row r="30" ht="38" customHeight="1">
      <x:c r="A30" s="128" t="str">
        <x:v>I030</x:v>
      </x:c>
      <x:c r="B30" s="128" t="str">
        <x:v>牧场牌</x:v>
      </x:c>
      <x:c r="C30" s="128" t="str">
        <x:v>史诗</x:v>
      </x:c>
      <x:c r="D30" s="129" t="n">
        <x:v>3</x:v>
      </x:c>
      <x:c r="E30" s="128" t="str">
        <x:v>三选一</x:v>
      </x:c>
      <x:c r="F30" s="130" t="str">
        <x:v>是</x:v>
      </x:c>
      <x:c r="G30" s="130" t="str">
        <x:v>永久</x:v>
      </x:c>
      <x:c r="H30" s="128" t="str">
        <x:v>结算时</x:v>
      </x:c>
      <x:c r="I30" s="128" t="str">
        <x:v>结算时，本回合每正常生成过1类牧场产物，所有存活母鸡、奶牛、绵羊与雏鸡的本回合分值+2。</x:v>
      </x:c>
      <x:c r="J30" s="128" t="str">
        <x:v>只计蛋类、牛奶、羊毛共3类；蛋与双黄蛋合并计1类；每只动物最多+6；孵化不计</x:v>
      </x:c>
      <x:c r="K30" s="128" t="str">
        <x:v>牧场</x:v>
      </x:c>
      <x:c r="L30" s="128" t="str">
        <x:v>牧场、结算核心</x:v>
      </x:c>
      <x:c r="M30" s="128" t="str">
        <x:v>六边形</x:v>
      </x:c>
      <x:c r="N30" s="128" t="str">
        <x:v>不规则形</x:v>
      </x:c>
      <x:c r="O30" s="128" t="str">
        <x:v>Chicken（触发器!D71）；Cash Register（触发器!D36）</x:v>
      </x:c>
      <x:c r="P30" s="128" t="str">
        <x:v>扩展</x:v>
      </x:c>
      <x:c r="Q30" s="128" t="str">
        <x:v>流派组件</x:v>
      </x:c>
      <x:c r="R30" s="128" t="str">
        <x:v>—</x:v>
      </x:c>
    </x:row>
    <x:row r="31" ht="30" customHeight="1">
      <x:c r="A31" s="134" t="str">
        <x:v>I031</x:v>
      </x:c>
      <x:c r="B31" s="134" t="str">
        <x:v>原矿</x:v>
      </x:c>
      <x:c r="C31" s="134" t="str">
        <x:v>普通</x:v>
      </x:c>
      <x:c r="D31" s="135" t="n">
        <x:v>2</x:v>
      </x:c>
      <x:c r="E31" s="134" t="str">
        <x:v>三选一；生成：岩脉（接触矿工镐）</x:v>
      </x:c>
      <x:c r="F31" s="136" t="str">
        <x:v>是</x:v>
      </x:c>
      <x:c r="G31" s="136" t="str">
        <x:v>永久</x:v>
      </x:c>
      <x:c r="H31" s="134" t="str">
        <x:v>被消耗时</x:v>
      </x:c>
      <x:c r="I31" s="134" t="str">
        <x:v>被矿工镐消耗时，直接计分3。</x:v>
      </x:c>
      <x:c r="J31" s="134" t="str">
        <x:v>同一物品每回合限触发1次</x:v>
      </x:c>
      <x:c r="K31" s="134" t="str">
        <x:v>矿业</x:v>
      </x:c>
      <x:c r="L31" s="134" t="str">
        <x:v>矿石、原料</x:v>
      </x:c>
      <x:c r="M31" s="134" t="str">
        <x:v>不规则多边形</x:v>
      </x:c>
      <x:c r="N31" s="134" t="str">
        <x:v>不规则形</x:v>
      </x:c>
      <x:c r="O31" s="134" t="str">
        <x:v>Cairn（触发器!D34）</x:v>
      </x:c>
      <x:c r="P31" s="134" t="str">
        <x:v>首测候选</x:v>
      </x:c>
      <x:c r="Q31" s="134" t="str">
        <x:v>流派组件</x:v>
      </x:c>
      <x:c r="R31" s="134" t="str">
        <x:v>—</x:v>
      </x:c>
    </x:row>
    <x:row r="32" ht="30" customHeight="1">
      <x:c r="A32" s="128" t="str">
        <x:v>I033</x:v>
      </x:c>
      <x:c r="B32" s="128" t="str">
        <x:v>铁矿块</x:v>
      </x:c>
      <x:c r="C32" s="128" t="str">
        <x:v>优秀</x:v>
      </x:c>
      <x:c r="D32" s="129" t="n">
        <x:v>4</x:v>
      </x:c>
      <x:c r="E32" s="128" t="str">
        <x:v>三选一；生成：岩脉（单次开采20%概率）</x:v>
      </x:c>
      <x:c r="F32" s="130" t="str">
        <x:v>是</x:v>
      </x:c>
      <x:c r="G32" s="130" t="str">
        <x:v>永久</x:v>
      </x:c>
      <x:c r="H32" s="128" t="str">
        <x:v>被消耗时</x:v>
      </x:c>
      <x:c r="I32" s="128" t="str">
        <x:v>被熔炉消耗时，使该熔炉本回合分值+3。</x:v>
      </x:c>
      <x:c r="J32" s="128" t="str">
        <x:v>同一物品每回合限触发1次</x:v>
      </x:c>
      <x:c r="K32" s="128" t="str">
        <x:v>矿业</x:v>
      </x:c>
      <x:c r="L32" s="128" t="str">
        <x:v>矿石、原料</x:v>
      </x:c>
      <x:c r="M32" s="128" t="str">
        <x:v>方形</x:v>
      </x:c>
      <x:c r="N32" s="128" t="str">
        <x:v>方形</x:v>
      </x:c>
      <x:c r="O32" s="128" t="str">
        <x:v>原创</x:v>
      </x:c>
      <x:c r="P32" s="128" t="str">
        <x:v>扩展</x:v>
      </x:c>
      <x:c r="Q32" s="128" t="str">
        <x:v>流派组件</x:v>
      </x:c>
      <x:c r="R32" s="128" t="str">
        <x:v>—</x:v>
      </x:c>
    </x:row>
    <x:row r="33" ht="30" customHeight="1">
      <x:c r="A33" s="134" t="str">
        <x:v>I034</x:v>
      </x:c>
      <x:c r="B33" s="134" t="str">
        <x:v>宝石原胚</x:v>
      </x:c>
      <x:c r="C33" s="134" t="str">
        <x:v>优秀</x:v>
      </x:c>
      <x:c r="D33" s="135" t="n">
        <x:v>2</x:v>
      </x:c>
      <x:c r="E33" s="134" t="str">
        <x:v>三选一；生成：岩脉（单次开采10%概率）</x:v>
      </x:c>
      <x:c r="F33" s="136" t="str">
        <x:v>是</x:v>
      </x:c>
      <x:c r="G33" s="136" t="str">
        <x:v>永久</x:v>
      </x:c>
      <x:c r="H33" s="134" t="str">
        <x:v>—</x:v>
      </x:c>
      <x:c r="I33" s="134" t="str">
        <x:v>可被宝石切割器消耗并加工为晶屑。</x:v>
      </x:c>
      <x:c r="J33" s="134" t="str">
        <x:v>加工效果由宝石切割器触发</x:v>
      </x:c>
      <x:c r="K33" s="134" t="str">
        <x:v>矿业</x:v>
      </x:c>
      <x:c r="L33" s="134" t="str">
        <x:v>矿石、原料</x:v>
      </x:c>
      <x:c r="M33" s="134" t="str">
        <x:v>菱形</x:v>
      </x:c>
      <x:c r="N33" s="134" t="str">
        <x:v>不规则形</x:v>
      </x:c>
      <x:c r="O33" s="134" t="str">
        <x:v>Gem Mine（触发器!D79）</x:v>
      </x:c>
      <x:c r="P33" s="134" t="str">
        <x:v>扩展</x:v>
      </x:c>
      <x:c r="Q33" s="134" t="str">
        <x:v>流派组件</x:v>
      </x:c>
      <x:c r="R33" s="134" t="str">
        <x:v>—</x:v>
      </x:c>
    </x:row>
    <x:row r="34" ht="38" customHeight="1">
      <x:c r="A34" s="128" t="str">
        <x:v>I035</x:v>
      </x:c>
      <x:c r="B34" s="128" t="str">
        <x:v>岩脉</x:v>
      </x:c>
      <x:c r="C34" s="128" t="str">
        <x:v>普通</x:v>
      </x:c>
      <x:c r="D34" s="129" t="n">
        <x:v>1</x:v>
      </x:c>
      <x:c r="E34" s="128" t="str">
        <x:v>三选一</x:v>
      </x:c>
      <x:c r="F34" s="130" t="str">
        <x:v>是</x:v>
      </x:c>
      <x:c r="G34" s="130" t="str">
        <x:v>永久</x:v>
      </x:c>
      <x:c r="H34" s="128" t="str">
        <x:v>接触时</x:v>
      </x:c>
      <x:c r="I34" s="128" t="str">
        <x:v>接触矿工镐时，生成1块原矿；同时有20%概率生成1块铁矿块、10%概率生成1块宝石原胚，二者不会同时生成。</x:v>
      </x:c>
      <x:c r="J34" s="128" t="str">
        <x:v>每回合限触发1次；70%不生成额外矿料；所有产物均属正常生成；不消耗矿工镐</x:v>
      </x:c>
      <x:c r="K34" s="128" t="str">
        <x:v>矿业</x:v>
      </x:c>
      <x:c r="L34" s="128" t="str">
        <x:v>矿业、生成者</x:v>
      </x:c>
      <x:c r="M34" s="128" t="str">
        <x:v>圆袋形</x:v>
      </x:c>
      <x:c r="N34" s="128" t="str">
        <x:v>不规则形</x:v>
      </x:c>
      <x:c r="O34" s="128" t="str">
        <x:v>Avalanche（触发器!D30）</x:v>
      </x:c>
      <x:c r="P34" s="128" t="str">
        <x:v>首测候选</x:v>
      </x:c>
      <x:c r="Q34" s="128" t="str">
        <x:v>流派组件</x:v>
      </x:c>
      <x:c r="R34" s="128" t="str">
        <x:v>—</x:v>
      </x:c>
    </x:row>
    <x:row r="35" ht="38" customHeight="1">
      <x:c r="A35" s="134" t="str">
        <x:v>I036</x:v>
      </x:c>
      <x:c r="B35" s="134" t="str">
        <x:v>矿工镐</x:v>
      </x:c>
      <x:c r="C35" s="134" t="str">
        <x:v>优秀</x:v>
      </x:c>
      <x:c r="D35" s="135" t="n">
        <x:v>2</x:v>
      </x:c>
      <x:c r="E35" s="134" t="str">
        <x:v>三选一</x:v>
      </x:c>
      <x:c r="F35" s="136" t="str">
        <x:v>是</x:v>
      </x:c>
      <x:c r="G35" s="136" t="str">
        <x:v>永久</x:v>
      </x:c>
      <x:c r="H35" s="134" t="str">
        <x:v>接触时</x:v>
      </x:c>
      <x:c r="I35" s="134" t="str">
        <x:v>接触原矿时，消耗该原矿，生成2份矿砂。</x:v>
      </x:c>
      <x:c r="J35" s="134" t="str">
        <x:v>每回合限触发1次；不消耗岩脉、铁矿块或宝石原胚</x:v>
      </x:c>
      <x:c r="K35" s="134" t="str">
        <x:v>矿业</x:v>
      </x:c>
      <x:c r="L35" s="134" t="str">
        <x:v>矿业、工具、生成者</x:v>
      </x:c>
      <x:c r="M35" s="134" t="str">
        <x:v>丁字形</x:v>
      </x:c>
      <x:c r="N35" s="134" t="str">
        <x:v>不规则形</x:v>
      </x:c>
      <x:c r="O35" s="134" t="str">
        <x:v>Rock Crusher（触发器!D92）；Axe（触发器!D68）</x:v>
      </x:c>
      <x:c r="P35" s="134" t="str">
        <x:v>首测候选</x:v>
      </x:c>
      <x:c r="Q35" s="134" t="str">
        <x:v>流派组件</x:v>
      </x:c>
      <x:c r="R35" s="134" t="str">
        <x:v>—</x:v>
      </x:c>
    </x:row>
    <x:row r="36" ht="38" customHeight="1">
      <x:c r="A36" s="128" t="str">
        <x:v>I037</x:v>
      </x:c>
      <x:c r="B36" s="128" t="str">
        <x:v>筛矿机</x:v>
      </x:c>
      <x:c r="C36" s="128" t="str">
        <x:v>稀有</x:v>
      </x:c>
      <x:c r="D36" s="129" t="n">
        <x:v>2</x:v>
      </x:c>
      <x:c r="E36" s="128" t="str">
        <x:v>三选一</x:v>
      </x:c>
      <x:c r="F36" s="130" t="str">
        <x:v>是</x:v>
      </x:c>
      <x:c r="G36" s="130" t="str">
        <x:v>永久</x:v>
      </x:c>
      <x:c r="H36" s="128" t="str">
        <x:v>接触时</x:v>
      </x:c>
      <x:c r="I36" s="128" t="str">
        <x:v>接触矿砂时，消耗该矿砂，随机生成1颗晶屑或1份金砂；概率分别为75%和25%。</x:v>
      </x:c>
      <x:c r="J36" s="128" t="str">
        <x:v>每回合最多触发2次</x:v>
      </x:c>
      <x:c r="K36" s="128" t="str">
        <x:v>矿业</x:v>
      </x:c>
      <x:c r="L36" s="128" t="str">
        <x:v>矿业、工具、生成者</x:v>
      </x:c>
      <x:c r="M36" s="128" t="str">
        <x:v>齿轮形</x:v>
      </x:c>
      <x:c r="N36" s="128" t="str">
        <x:v>不规则形</x:v>
      </x:c>
      <x:c r="O36" s="128" t="str">
        <x:v>Rock Crusher（触发器!D92）；Gem Mine（触发器!D79）</x:v>
      </x:c>
      <x:c r="P36" s="128" t="str">
        <x:v>首测候选</x:v>
      </x:c>
      <x:c r="Q36" s="128" t="str">
        <x:v>流派组件</x:v>
      </x:c>
      <x:c r="R36" s="128" t="str">
        <x:v>—</x:v>
      </x:c>
    </x:row>
    <x:row r="37" ht="38" customHeight="1">
      <x:c r="A37" s="134" t="str">
        <x:v>I038</x:v>
      </x:c>
      <x:c r="B37" s="134" t="str">
        <x:v>熔炉</x:v>
      </x:c>
      <x:c r="C37" s="134" t="str">
        <x:v>稀有</x:v>
      </x:c>
      <x:c r="D37" s="135" t="n">
        <x:v>2</x:v>
      </x:c>
      <x:c r="E37" s="134" t="str">
        <x:v>三选一</x:v>
      </x:c>
      <x:c r="F37" s="136" t="str">
        <x:v>是</x:v>
      </x:c>
      <x:c r="G37" s="136" t="str">
        <x:v>永久</x:v>
      </x:c>
      <x:c r="H37" s="134" t="str">
        <x:v>接触时</x:v>
      </x:c>
      <x:c r="I37" s="134" t="str">
        <x:v>接触火元素时，进入点燃状态。点燃后接触铁矿块时，消耗该铁矿块，生成1块铁锭。</x:v>
      </x:c>
      <x:c r="J37" s="134" t="str">
        <x:v>每回合最多生成1块铁锭；不消耗火元素</x:v>
      </x:c>
      <x:c r="K37" s="134" t="str">
        <x:v>矿业</x:v>
      </x:c>
      <x:c r="L37" s="134" t="str">
        <x:v>矿业、工具、生成者</x:v>
      </x:c>
      <x:c r="M37" s="134" t="str">
        <x:v>方炉形</x:v>
      </x:c>
      <x:c r="N37" s="134" t="str">
        <x:v>方形</x:v>
      </x:c>
      <x:c r="O37" s="134" t="str">
        <x:v>Kiln（触发器!D83）</x:v>
      </x:c>
      <x:c r="P37" s="134" t="str">
        <x:v>首测候选</x:v>
      </x:c>
      <x:c r="Q37" s="134" t="str">
        <x:v>流派组件</x:v>
      </x:c>
      <x:c r="R37" s="134" t="str">
        <x:v>—</x:v>
      </x:c>
    </x:row>
    <x:row r="38" ht="30" customHeight="1">
      <x:c r="A38" s="128" t="str">
        <x:v>I040</x:v>
      </x:c>
      <x:c r="B38" s="128" t="str">
        <x:v>宝石切割器</x:v>
      </x:c>
      <x:c r="C38" s="128" t="str">
        <x:v>史诗</x:v>
      </x:c>
      <x:c r="D38" s="129" t="n">
        <x:v>3</x:v>
      </x:c>
      <x:c r="E38" s="128" t="str">
        <x:v>三选一</x:v>
      </x:c>
      <x:c r="F38" s="130" t="str">
        <x:v>是</x:v>
      </x:c>
      <x:c r="G38" s="130" t="str">
        <x:v>永久</x:v>
      </x:c>
      <x:c r="H38" s="128" t="str">
        <x:v>接触时</x:v>
      </x:c>
      <x:c r="I38" s="128" t="str">
        <x:v>接触宝石原胚时，消耗该宝石原胚，生成1颗基础分为8的晶屑。</x:v>
      </x:c>
      <x:c r="J38" s="128" t="str">
        <x:v>每回合限触发1次</x:v>
      </x:c>
      <x:c r="K38" s="128" t="str">
        <x:v>矿业</x:v>
      </x:c>
      <x:c r="L38" s="128" t="str">
        <x:v>矿业、工具、生成者</x:v>
      </x:c>
      <x:c r="M38" s="128" t="str">
        <x:v>棋子形</x:v>
      </x:c>
      <x:c r="N38" s="128" t="str">
        <x:v>不规则形</x:v>
      </x:c>
      <x:c r="O38" s="128" t="str">
        <x:v>Gem Mine（触发器!D79）；Museum（触发器!D87）</x:v>
      </x:c>
      <x:c r="P38" s="128" t="str">
        <x:v>扩展</x:v>
      </x:c>
      <x:c r="Q38" s="128" t="str">
        <x:v>流派组件</x:v>
      </x:c>
      <x:c r="R38" s="128" t="str">
        <x:v>—</x:v>
      </x:c>
    </x:row>
    <x:row r="39" ht="38" customHeight="1">
      <x:c r="A39" s="134" t="str">
        <x:v>I041</x:v>
      </x:c>
      <x:c r="B39" s="134" t="str">
        <x:v>火种</x:v>
      </x:c>
      <x:c r="C39" s="134" t="str">
        <x:v>普通</x:v>
      </x:c>
      <x:c r="D39" s="135" t="n">
        <x:v>2</x:v>
      </x:c>
      <x:c r="E39" s="134" t="str">
        <x:v>三选一</x:v>
      </x:c>
      <x:c r="F39" s="136" t="str">
        <x:v>是</x:v>
      </x:c>
      <x:c r="G39" s="136" t="str">
        <x:v>永久</x:v>
      </x:c>
      <x:c r="H39" s="134" t="str">
        <x:v>接触时</x:v>
      </x:c>
      <x:c r="I39" s="134" t="str">
        <x:v>可点亮蜡烛、点燃熔炉与蒸汽锅炉，也可融化冰块或引燃鞭炮。</x:v>
      </x:c>
      <x:c r="J39" s="134" t="str">
        <x:v>具体反应与次数由目标物品决定；火种不因这些反应被消耗</x:v>
      </x:c>
      <x:c r="K39" s="134" t="str">
        <x:v>元素</x:v>
      </x:c>
      <x:c r="L39" s="134" t="str">
        <x:v>火元素</x:v>
      </x:c>
      <x:c r="M39" s="134" t="str">
        <x:v>水滴形</x:v>
      </x:c>
      <x:c r="N39" s="134" t="str">
        <x:v>不规则形</x:v>
      </x:c>
      <x:c r="O39" s="134" t="str">
        <x:v>Spell of Ignition（触发器!D124）</x:v>
      </x:c>
      <x:c r="P39" s="134" t="str">
        <x:v>首测候选</x:v>
      </x:c>
      <x:c r="Q39" s="134" t="str">
        <x:v>共通物品</x:v>
      </x:c>
      <x:c r="R39" s="134" t="str">
        <x:v>元素→矿业：点燃熔炉；也能点燃锅炉、蜡烛及融冰。火源不会因此被消耗。</x:v>
      </x:c>
    </x:row>
    <x:row r="40" ht="30" customHeight="1">
      <x:c r="A40" s="128" t="str">
        <x:v>I042</x:v>
      </x:c>
      <x:c r="B40" s="128" t="str">
        <x:v>冰块</x:v>
      </x:c>
      <x:c r="C40" s="128" t="str">
        <x:v>普通</x:v>
      </x:c>
      <x:c r="D40" s="129" t="n">
        <x:v>2</x:v>
      </x:c>
      <x:c r="E40" s="128" t="str">
        <x:v>三选一</x:v>
      </x:c>
      <x:c r="F40" s="130" t="str">
        <x:v>是</x:v>
      </x:c>
      <x:c r="G40" s="130" t="str">
        <x:v>永久</x:v>
      </x:c>
      <x:c r="H40" s="128" t="str">
        <x:v>接触时</x:v>
      </x:c>
      <x:c r="I40" s="128" t="str">
        <x:v>接触火元素时，消耗自身，生成2颗水珠。</x:v>
      </x:c>
      <x:c r="J40" s="128" t="str">
        <x:v>同一物品每回合限触发1次；不消耗火元素</x:v>
      </x:c>
      <x:c r="K40" s="128" t="str">
        <x:v>元素</x:v>
      </x:c>
      <x:c r="L40" s="128" t="str">
        <x:v>水元素、生成者</x:v>
      </x:c>
      <x:c r="M40" s="128" t="str">
        <x:v>方形</x:v>
      </x:c>
      <x:c r="N40" s="128" t="str">
        <x:v>方形</x:v>
      </x:c>
      <x:c r="O40" s="128" t="str">
        <x:v>Ice Cubes（触发器!D16）</x:v>
      </x:c>
      <x:c r="P40" s="128" t="str">
        <x:v>首测候选</x:v>
      </x:c>
      <x:c r="Q40" s="128" t="str">
        <x:v>流派组件</x:v>
      </x:c>
      <x:c r="R40" s="128" t="str">
        <x:v>—</x:v>
      </x:c>
    </x:row>
    <x:row r="41" ht="38" customHeight="1">
      <x:c r="A41" s="134" t="str">
        <x:v>I044</x:v>
      </x:c>
      <x:c r="B41" s="134" t="str">
        <x:v>蜡烛</x:v>
      </x:c>
      <x:c r="C41" s="134" t="str">
        <x:v>优秀</x:v>
      </x:c>
      <x:c r="D41" s="135" t="n">
        <x:v>2</x:v>
      </x:c>
      <x:c r="E41" s="134" t="str">
        <x:v>三选一</x:v>
      </x:c>
      <x:c r="F41" s="136" t="str">
        <x:v>是</x:v>
      </x:c>
      <x:c r="G41" s="136" t="str">
        <x:v>永久</x:v>
      </x:c>
      <x:c r="H41" s="134" t="str">
        <x:v>接触时 / 结算时</x:v>
      </x:c>
      <x:c r="I41" s="134" t="str">
        <x:v>接触火元素时，进入点亮状态，并在本回合获得火元素标签。结算时，若自身已点亮，使与自身接触的非元素流派物品各结算倍率+50%。</x:v>
      </x:c>
      <x:c r="J41" s="134" t="str">
        <x:v>最多影响3件；点亮不消耗火元素；回合结束恢复未点亮状态</x:v>
      </x:c>
      <x:c r="K41" s="134" t="str">
        <x:v>元素</x:v>
      </x:c>
      <x:c r="L41" s="134" t="str">
        <x:v>元素、辅助</x:v>
      </x:c>
      <x:c r="M41" s="134" t="str">
        <x:v>细长形</x:v>
      </x:c>
      <x:c r="N41" s="134" t="str">
        <x:v>长条形</x:v>
      </x:c>
      <x:c r="O41" s="134" t="str">
        <x:v>Candle（触发器!D11）</x:v>
      </x:c>
      <x:c r="P41" s="134" t="str">
        <x:v>首测候选</x:v>
      </x:c>
      <x:c r="Q41" s="134" t="str">
        <x:v>共通物品</x:v>
      </x:c>
      <x:c r="R41" s="134" t="str">
        <x:v>元素→其他流派：点亮后增强接触的非元素物品，也包括中立物品。</x:v>
      </x:c>
    </x:row>
    <x:row r="42" ht="30" customHeight="1">
      <x:c r="A42" s="128" t="str">
        <x:v>I045</x:v>
      </x:c>
      <x:c r="B42" s="128" t="str">
        <x:v>小火山</x:v>
      </x:c>
      <x:c r="C42" s="128" t="str">
        <x:v>稀有</x:v>
      </x:c>
      <x:c r="D42" s="129" t="n">
        <x:v>3</x:v>
      </x:c>
      <x:c r="E42" s="128" t="str">
        <x:v>三选一</x:v>
      </x:c>
      <x:c r="F42" s="130" t="str">
        <x:v>是</x:v>
      </x:c>
      <x:c r="G42" s="130" t="str">
        <x:v>永久</x:v>
      </x:c>
      <x:c r="H42" s="128" t="str">
        <x:v>接触时</x:v>
      </x:c>
      <x:c r="I42" s="128" t="str">
        <x:v>接触原矿时，消耗该原矿，临时生成2颗火星，并直接计分该原矿当前分值+4。</x:v>
      </x:c>
      <x:c r="J42" s="128" t="str">
        <x:v>每回合最多触发2次</x:v>
      </x:c>
      <x:c r="K42" s="128" t="str">
        <x:v>元素</x:v>
      </x:c>
      <x:c r="L42" s="128" t="str">
        <x:v>元素、生成者</x:v>
      </x:c>
      <x:c r="M42" s="128" t="str">
        <x:v>三角形</x:v>
      </x:c>
      <x:c r="N42" s="128" t="str">
        <x:v>三角形</x:v>
      </x:c>
      <x:c r="O42" s="128" t="str">
        <x:v>Volcano（触发器!D62）</x:v>
      </x:c>
      <x:c r="P42" s="128" t="str">
        <x:v>扩展</x:v>
      </x:c>
      <x:c r="Q42" s="128" t="str">
        <x:v>流派组件</x:v>
      </x:c>
      <x:c r="R42" s="128" t="str">
        <x:v>—</x:v>
      </x:c>
    </x:row>
    <x:row r="43" ht="30" customHeight="1">
      <x:c r="A43" s="134" t="str">
        <x:v>I048</x:v>
      </x:c>
      <x:c r="B43" s="134" t="str">
        <x:v>风箱</x:v>
      </x:c>
      <x:c r="C43" s="134" t="str">
        <x:v>优秀</x:v>
      </x:c>
      <x:c r="D43" s="135" t="n">
        <x:v>2</x:v>
      </x:c>
      <x:c r="E43" s="134" t="str">
        <x:v>三选一</x:v>
      </x:c>
      <x:c r="F43" s="136" t="str">
        <x:v>是</x:v>
      </x:c>
      <x:c r="G43" s="136" t="str">
        <x:v>永久</x:v>
      </x:c>
      <x:c r="H43" s="134" t="str">
        <x:v>接触时</x:v>
      </x:c>
      <x:c r="I43" s="134" t="str">
        <x:v>接触火元素时，双方本回合分值各+2。</x:v>
      </x:c>
      <x:c r="J43" s="134" t="str">
        <x:v>每个目标每回合限触发1次；最多4个</x:v>
      </x:c>
      <x:c r="K43" s="134" t="str">
        <x:v>元素</x:v>
      </x:c>
      <x:c r="L43" s="134" t="str">
        <x:v>元素、工具</x:v>
      </x:c>
      <x:c r="M43" s="134" t="str">
        <x:v>扇形</x:v>
      </x:c>
      <x:c r="N43" s="134" t="str">
        <x:v>不规则形</x:v>
      </x:c>
      <x:c r="O43" s="134" t="str">
        <x:v>Capacitor（触发器!D35）</x:v>
      </x:c>
      <x:c r="P43" s="134" t="str">
        <x:v>扩展</x:v>
      </x:c>
      <x:c r="Q43" s="134" t="str">
        <x:v>流派组件</x:v>
      </x:c>
      <x:c r="R43" s="134" t="str">
        <x:v>—</x:v>
      </x:c>
    </x:row>
    <x:row r="44" ht="30" customHeight="1">
      <x:c r="A44" s="128" t="str">
        <x:v>I049</x:v>
      </x:c>
      <x:c r="B44" s="128" t="str">
        <x:v>鞭炮</x:v>
      </x:c>
      <x:c r="C44" s="128" t="str">
        <x:v>稀有</x:v>
      </x:c>
      <x:c r="D44" s="129" t="n">
        <x:v>1</x:v>
      </x:c>
      <x:c r="E44" s="128" t="str">
        <x:v>三选一</x:v>
      </x:c>
      <x:c r="F44" s="130" t="str">
        <x:v>是</x:v>
      </x:c>
      <x:c r="G44" s="130" t="str">
        <x:v>永久</x:v>
      </x:c>
      <x:c r="H44" s="128" t="str">
        <x:v>接触时</x:v>
      </x:c>
      <x:c r="I44" s="128" t="str">
        <x:v>接触火元素时，消耗自身，临时生成3颗礼花。</x:v>
      </x:c>
      <x:c r="J44" s="128" t="str">
        <x:v>同一物品每回合限触发1次；不消耗点火物</x:v>
      </x:c>
      <x:c r="K44" s="128" t="str">
        <x:v>元素</x:v>
      </x:c>
      <x:c r="L44" s="128" t="str">
        <x:v>元素、生成者</x:v>
      </x:c>
      <x:c r="M44" s="128" t="str">
        <x:v>短圆柱形</x:v>
      </x:c>
      <x:c r="N44" s="128" t="str">
        <x:v>圆形</x:v>
      </x:c>
      <x:c r="O44" s="128" t="str">
        <x:v>Firecracker（触发器!D42）</x:v>
      </x:c>
      <x:c r="P44" s="128" t="str">
        <x:v>扩展</x:v>
      </x:c>
      <x:c r="Q44" s="128" t="str">
        <x:v>流派组件</x:v>
      </x:c>
      <x:c r="R44" s="128" t="str">
        <x:v>—</x:v>
      </x:c>
    </x:row>
    <x:row r="45" ht="38" customHeight="1">
      <x:c r="A45" s="134" t="str">
        <x:v>I050</x:v>
      </x:c>
      <x:c r="B45" s="134" t="str">
        <x:v>蒸汽锅炉</x:v>
      </x:c>
      <x:c r="C45" s="134" t="str">
        <x:v>史诗</x:v>
      </x:c>
      <x:c r="D45" s="135" t="n">
        <x:v>3</x:v>
      </x:c>
      <x:c r="E45" s="134" t="str">
        <x:v>三选一</x:v>
      </x:c>
      <x:c r="F45" s="136" t="str">
        <x:v>是</x:v>
      </x:c>
      <x:c r="G45" s="136" t="str">
        <x:v>永久</x:v>
      </x:c>
      <x:c r="H45" s="134" t="str">
        <x:v>接触时</x:v>
      </x:c>
      <x:c r="I45" s="134" t="str">
        <x:v>接触火元素时，进入点燃状态。点燃后接触水珠时，消耗该水珠，临时生成1团蒸汽。</x:v>
      </x:c>
      <x:c r="J45" s="134" t="str">
        <x:v>每回合最多生成2团蒸汽；不消耗火元素</x:v>
      </x:c>
      <x:c r="K45" s="134" t="str">
        <x:v>元素</x:v>
      </x:c>
      <x:c r="L45" s="134" t="str">
        <x:v>元素、工具、生成者</x:v>
      </x:c>
      <x:c r="M45" s="134" t="str">
        <x:v>圆桶形</x:v>
      </x:c>
      <x:c r="N45" s="134" t="str">
        <x:v>圆形</x:v>
      </x:c>
      <x:c r="O45" s="134" t="str">
        <x:v>Radiator（触发器!D23）；Water Mill（触发器!D101）</x:v>
      </x:c>
      <x:c r="P45" s="134" t="str">
        <x:v>首测候选</x:v>
      </x:c>
      <x:c r="Q45" s="134" t="str">
        <x:v>流派组件</x:v>
      </x:c>
      <x:c r="R45" s="134" t="str">
        <x:v>—</x:v>
      </x:c>
    </x:row>
    <x:row r="46" ht="30" customHeight="1">
      <x:c r="A46" s="128" t="str">
        <x:v>I051</x:v>
      </x:c>
      <x:c r="B46" s="128" t="str">
        <x:v>金币</x:v>
      </x:c>
      <x:c r="C46" s="128" t="str">
        <x:v>普通</x:v>
      </x:c>
      <x:c r="D46" s="129" t="n">
        <x:v>3</x:v>
      </x:c>
      <x:c r="E46" s="128" t="str">
        <x:v>三选一</x:v>
      </x:c>
      <x:c r="F46" s="130" t="str">
        <x:v>是</x:v>
      </x:c>
      <x:c r="G46" s="130" t="str">
        <x:v>永久</x:v>
      </x:c>
      <x:c r="H46" s="128" t="str">
        <x:v>结算时</x:v>
      </x:c>
      <x:c r="I46" s="128" t="str">
        <x:v>结算时，本回合接触过集市物品时，自身本回合分值+2。</x:v>
      </x:c>
      <x:c r="J46" s="128" t="str">
        <x:v>每回合限触发1次</x:v>
      </x:c>
      <x:c r="K46" s="128" t="str">
        <x:v>集市</x:v>
      </x:c>
      <x:c r="L46" s="128" t="str">
        <x:v>货币、金属、商品</x:v>
      </x:c>
      <x:c r="M46" s="128" t="str">
        <x:v>圆形</x:v>
      </x:c>
      <x:c r="N46" s="128" t="str">
        <x:v>圆形</x:v>
      </x:c>
      <x:c r="O46" s="128" t="str">
        <x:v>Credit Card（触发器!D14）</x:v>
      </x:c>
      <x:c r="P46" s="128" t="str">
        <x:v>首测候选</x:v>
      </x:c>
      <x:c r="Q46" s="128" t="str">
        <x:v>流派组件</x:v>
      </x:c>
      <x:c r="R46" s="128" t="str">
        <x:v>—</x:v>
      </x:c>
    </x:row>
    <x:row r="47" ht="30" customHeight="1">
      <x:c r="A47" s="134" t="str">
        <x:v>I052</x:v>
      </x:c>
      <x:c r="B47" s="134" t="str">
        <x:v>招财猪</x:v>
      </x:c>
      <x:c r="C47" s="134" t="str">
        <x:v>优秀</x:v>
      </x:c>
      <x:c r="D47" s="135" t="n">
        <x:v>1</x:v>
      </x:c>
      <x:c r="E47" s="134" t="str">
        <x:v>三选一</x:v>
      </x:c>
      <x:c r="F47" s="136" t="str">
        <x:v>是</x:v>
      </x:c>
      <x:c r="G47" s="136" t="str">
        <x:v>永久</x:v>
      </x:c>
      <x:c r="H47" s="134" t="str">
        <x:v>接触时</x:v>
      </x:c>
      <x:c r="I47" s="134" t="str">
        <x:v>接触货币时，使该货币本回合分值+3，自身本回合分值+2。</x:v>
      </x:c>
      <x:c r="J47" s="134" t="str">
        <x:v>每件货币1次；最多3件</x:v>
      </x:c>
      <x:c r="K47" s="134" t="str">
        <x:v>集市</x:v>
      </x:c>
      <x:c r="L47" s="134" t="str">
        <x:v>集市、货币辅助</x:v>
      </x:c>
      <x:c r="M47" s="134" t="str">
        <x:v>椭圆形</x:v>
      </x:c>
      <x:c r="N47" s="134" t="str">
        <x:v>不规则形</x:v>
      </x:c>
      <x:c r="O47" s="134" t="str">
        <x:v>Piggy Bonk（触发器!D53）</x:v>
      </x:c>
      <x:c r="P47" s="134" t="str">
        <x:v>首测候选</x:v>
      </x:c>
      <x:c r="Q47" s="134" t="str">
        <x:v>流派组件</x:v>
      </x:c>
      <x:c r="R47" s="134" t="str">
        <x:v>—</x:v>
      </x:c>
    </x:row>
    <x:row r="48" ht="30" customHeight="1">
      <x:c r="A48" s="128" t="str">
        <x:v>I053</x:v>
      </x:c>
      <x:c r="B48" s="128" t="str">
        <x:v>海绵</x:v>
      </x:c>
      <x:c r="C48" s="128" t="str">
        <x:v>普通</x:v>
      </x:c>
      <x:c r="D48" s="129" t="n">
        <x:v>1</x:v>
      </x:c>
      <x:c r="E48" s="128" t="str">
        <x:v>三选一</x:v>
      </x:c>
      <x:c r="F48" s="130" t="str">
        <x:v>是</x:v>
      </x:c>
      <x:c r="G48" s="130" t="str">
        <x:v>永久</x:v>
      </x:c>
      <x:c r="H48" s="128" t="str">
        <x:v>接触时</x:v>
      </x:c>
      <x:c r="I48" s="128" t="str">
        <x:v>接触水珠时，消耗该水珠，自身本回合分值+5。</x:v>
      </x:c>
      <x:c r="J48" s="128" t="str">
        <x:v>每回合最多触发2次</x:v>
      </x:c>
      <x:c r="K48" s="128" t="str">
        <x:v>集市</x:v>
      </x:c>
      <x:c r="L48" s="128" t="str">
        <x:v>集市、消耗者</x:v>
      </x:c>
      <x:c r="M48" s="128" t="str">
        <x:v>圆角方形</x:v>
      </x:c>
      <x:c r="N48" s="128" t="str">
        <x:v>方形</x:v>
      </x:c>
      <x:c r="O48" s="128" t="str">
        <x:v>Pale Chalice（触发器!D117）；Well（触发器!D64）</x:v>
      </x:c>
      <x:c r="P48" s="128" t="str">
        <x:v>扩展</x:v>
      </x:c>
      <x:c r="Q48" s="128" t="str">
        <x:v>共通物品</x:v>
      </x:c>
      <x:c r="R48" s="128" t="str">
        <x:v>种植／元素→集市：处理多余水珠；与植物、锅炉争水，并非供水不足时的必选。</x:v>
      </x:c>
    </x:row>
    <x:row r="49" ht="30" customHeight="1">
      <x:c r="A49" s="134" t="str">
        <x:v>I054</x:v>
      </x:c>
      <x:c r="B49" s="134" t="str">
        <x:v>回收桶</x:v>
      </x:c>
      <x:c r="C49" s="134" t="str">
        <x:v>普通</x:v>
      </x:c>
      <x:c r="D49" s="135" t="n">
        <x:v>1</x:v>
      </x:c>
      <x:c r="E49" s="134" t="str">
        <x:v>三选一</x:v>
      </x:c>
      <x:c r="F49" s="136" t="str">
        <x:v>是</x:v>
      </x:c>
      <x:c r="G49" s="136" t="str">
        <x:v>永久</x:v>
      </x:c>
      <x:c r="H49" s="134" t="str">
        <x:v>接触时</x:v>
      </x:c>
      <x:c r="I49" s="134" t="str">
        <x:v>接触矿砂、铁屑、饼干屑或纪念票时，消耗该物品，直接计分5。</x:v>
      </x:c>
      <x:c r="J49" s="134" t="str">
        <x:v>每回合最多触发3次</x:v>
      </x:c>
      <x:c r="K49" s="134" t="str">
        <x:v>集市</x:v>
      </x:c>
      <x:c r="L49" s="134" t="str">
        <x:v>集市、消耗者</x:v>
      </x:c>
      <x:c r="M49" s="134" t="str">
        <x:v>梯形</x:v>
      </x:c>
      <x:c r="N49" s="134" t="str">
        <x:v>不规则形</x:v>
      </x:c>
      <x:c r="O49" s="134" t="str">
        <x:v>Recycling Bin（触发器!D55）</x:v>
      </x:c>
      <x:c r="P49" s="134" t="str">
        <x:v>首测候选</x:v>
      </x:c>
      <x:c r="Q49" s="134" t="str">
        <x:v>共通物品</x:v>
      </x:c>
      <x:c r="R49" s="134" t="str">
        <x:v>矿业／烹饪／连锁→集市：只回收矿砂、铁屑、饼干屑、纪念票。</x:v>
      </x:c>
    </x:row>
    <x:row r="50" ht="38" customHeight="1">
      <x:c r="A50" s="128" t="str">
        <x:v>I055</x:v>
      </x:c>
      <x:c r="B50" s="128" t="str">
        <x:v>钱包</x:v>
      </x:c>
      <x:c r="C50" s="128" t="str">
        <x:v>优秀</x:v>
      </x:c>
      <x:c r="D50" s="129" t="n">
        <x:v>2</x:v>
      </x:c>
      <x:c r="E50" s="128" t="str">
        <x:v>三选一</x:v>
      </x:c>
      <x:c r="F50" s="130" t="str">
        <x:v>是</x:v>
      </x:c>
      <x:c r="G50" s="130" t="str">
        <x:v>永久</x:v>
      </x:c>
      <x:c r="H50" s="128" t="str">
        <x:v>接触时</x:v>
      </x:c>
      <x:c r="I50" s="128" t="str">
        <x:v>接触货币时，使该货币永久基础分+1。</x:v>
      </x:c>
      <x:c r="J50" s="128" t="str">
        <x:v>每回合1件；同一货币每回合仅受1个钱包增值</x:v>
      </x:c>
      <x:c r="K50" s="128" t="str">
        <x:v>集市</x:v>
      </x:c>
      <x:c r="L50" s="128" t="str">
        <x:v>集市、货币辅助、装备</x:v>
      </x:c>
      <x:c r="M50" s="128" t="str">
        <x:v>扁方形</x:v>
      </x:c>
      <x:c r="N50" s="128" t="str">
        <x:v>方形</x:v>
      </x:c>
      <x:c r="O50" s="128" t="str">
        <x:v>Wallet（触发器!D63）</x:v>
      </x:c>
      <x:c r="P50" s="128" t="str">
        <x:v>首测候选</x:v>
      </x:c>
      <x:c r="Q50" s="128" t="str">
        <x:v>流派组件</x:v>
      </x:c>
      <x:c r="R50" s="128" t="str">
        <x:v>—</x:v>
      </x:c>
    </x:row>
    <x:row r="51" ht="30" customHeight="1">
      <x:c r="A51" s="134" t="str">
        <x:v>I057</x:v>
      </x:c>
      <x:c r="B51" s="134" t="str">
        <x:v>金算盘</x:v>
      </x:c>
      <x:c r="C51" s="134" t="str">
        <x:v>稀有</x:v>
      </x:c>
      <x:c r="D51" s="135" t="n">
        <x:v>2</x:v>
      </x:c>
      <x:c r="E51" s="134" t="str">
        <x:v>三选一</x:v>
      </x:c>
      <x:c r="F51" s="136" t="str">
        <x:v>是</x:v>
      </x:c>
      <x:c r="G51" s="136" t="str">
        <x:v>永久</x:v>
      </x:c>
      <x:c r="H51" s="134" t="str">
        <x:v>结算结束时</x:v>
      </x:c>
      <x:c r="I51" s="134" t="str">
        <x:v>结算结束时，瓶中有至少3件货币且自身存活时，自身永久基础分+1。</x:v>
      </x:c>
      <x:c r="J51" s="134" t="str">
        <x:v>每回合限触发1次；永久累计+10封顶</x:v>
      </x:c>
      <x:c r="K51" s="134" t="str">
        <x:v>集市</x:v>
      </x:c>
      <x:c r="L51" s="134" t="str">
        <x:v>集市、成长</x:v>
      </x:c>
      <x:c r="M51" s="134" t="str">
        <x:v>方形</x:v>
      </x:c>
      <x:c r="N51" s="134" t="str">
        <x:v>方形</x:v>
      </x:c>
      <x:c r="O51" s="134" t="str">
        <x:v>Investment Bonk（触发器!D46）</x:v>
      </x:c>
      <x:c r="P51" s="134" t="str">
        <x:v>扩展</x:v>
      </x:c>
      <x:c r="Q51" s="134" t="str">
        <x:v>流派组件</x:v>
      </x:c>
      <x:c r="R51" s="134" t="str">
        <x:v>—</x:v>
      </x:c>
    </x:row>
    <x:row r="52" ht="38" customHeight="1">
      <x:c r="A52" s="128" t="str">
        <x:v>I058</x:v>
      </x:c>
      <x:c r="B52" s="128" t="str">
        <x:v>货架</x:v>
      </x:c>
      <x:c r="C52" s="128" t="str">
        <x:v>优秀</x:v>
      </x:c>
      <x:c r="D52" s="129" t="n">
        <x:v>2</x:v>
      </x:c>
      <x:c r="E52" s="128" t="str">
        <x:v>三选一</x:v>
      </x:c>
      <x:c r="F52" s="130" t="str">
        <x:v>是</x:v>
      </x:c>
      <x:c r="G52" s="130" t="str">
        <x:v>永久</x:v>
      </x:c>
      <x:c r="H52" s="128" t="str">
        <x:v>结算时</x:v>
      </x:c>
      <x:c r="I52" s="128" t="str">
        <x:v>结算时，与自身接触的商品各本回合分值+3；这些商品至少有3种不同名称时，自身本回合分值再+6。</x:v>
      </x:c>
      <x:c r="J52" s="128" t="str">
        <x:v>最多影响4件；不移走商品</x:v>
      </x:c>
      <x:c r="K52" s="128" t="str">
        <x:v>集市</x:v>
      </x:c>
      <x:c r="L52" s="128" t="str">
        <x:v>集市、辅助</x:v>
      </x:c>
      <x:c r="M52" s="128" t="str">
        <x:v>凹字形</x:v>
      </x:c>
      <x:c r="N52" s="128" t="str">
        <x:v>凹槽形</x:v>
      </x:c>
      <x:c r="O52" s="128" t="str">
        <x:v>Ballmart（触发器!D3）</x:v>
      </x:c>
      <x:c r="P52" s="128" t="str">
        <x:v>扩展</x:v>
      </x:c>
      <x:c r="Q52" s="128" t="str">
        <x:v>共通物品</x:v>
      </x:c>
      <x:c r="R52" s="128" t="str">
        <x:v>生产→集市：保留并增值商品；与消耗商品的拍卖槌是不同取舍。</x:v>
      </x:c>
    </x:row>
    <x:row r="53" ht="30" customHeight="1">
      <x:c r="A53" s="134" t="str">
        <x:v>I060</x:v>
      </x:c>
      <x:c r="B53" s="134" t="str">
        <x:v>拍卖槌</x:v>
      </x:c>
      <x:c r="C53" s="134" t="str">
        <x:v>稀有</x:v>
      </x:c>
      <x:c r="D53" s="135" t="n">
        <x:v>2</x:v>
      </x:c>
      <x:c r="E53" s="134" t="str">
        <x:v>三选一</x:v>
      </x:c>
      <x:c r="F53" s="136" t="str">
        <x:v>是</x:v>
      </x:c>
      <x:c r="G53" s="136" t="str">
        <x:v>永久</x:v>
      </x:c>
      <x:c r="H53" s="134" t="str">
        <x:v>接触时</x:v>
      </x:c>
      <x:c r="I53" s="134" t="str">
        <x:v>接触商品时，消耗该商品，直接计分等于其被消耗前的当前分值×3。</x:v>
      </x:c>
      <x:c r="J53" s="134" t="str">
        <x:v>每回合最多消耗1件商品</x:v>
      </x:c>
      <x:c r="K53" s="134" t="str">
        <x:v>集市</x:v>
      </x:c>
      <x:c r="L53" s="134" t="str">
        <x:v>集市、工具、消耗者</x:v>
      </x:c>
      <x:c r="M53" s="134" t="str">
        <x:v>丁字形</x:v>
      </x:c>
      <x:c r="N53" s="134" t="str">
        <x:v>不规则形</x:v>
      </x:c>
      <x:c r="O53" s="134" t="str">
        <x:v>Museum（触发器!D87）</x:v>
      </x:c>
      <x:c r="P53" s="134" t="str">
        <x:v>首测候选</x:v>
      </x:c>
      <x:c r="Q53" s="134" t="str">
        <x:v>共通物品</x:v>
      </x:c>
      <x:c r="R53" s="134" t="str">
        <x:v>生产／探险→集市：将热餐、羊毛、晶屑、铁锭、战利品等商品消耗计分。</x:v>
      </x:c>
    </x:row>
    <x:row r="54" ht="38" customHeight="1">
      <x:c r="A54" s="128" t="str">
        <x:v>I061</x:v>
      </x:c>
      <x:c r="B54" s="128" t="str">
        <x:v>小电池</x:v>
      </x:c>
      <x:c r="C54" s="128" t="str">
        <x:v>普通</x:v>
      </x:c>
      <x:c r="D54" s="129" t="n">
        <x:v>1</x:v>
      </x:c>
      <x:c r="E54" s="128" t="str">
        <x:v>三选一</x:v>
      </x:c>
      <x:c r="F54" s="130" t="str">
        <x:v>是</x:v>
      </x:c>
      <x:c r="G54" s="130" t="str">
        <x:v>永久</x:v>
      </x:c>
      <x:c r="H54" s="128" t="str">
        <x:v>接触时</x:v>
      </x:c>
      <x:c r="I54" s="128" t="str">
        <x:v>初始电量为3。接触充能物品时，花费1电量，使该物品充能+1。</x:v>
      </x:c>
      <x:c r="J54" s="128" t="str">
        <x:v>每个目标每回合限触发1次；不为电源补充电量</x:v>
      </x:c>
      <x:c r="K54" s="128" t="str">
        <x:v>机械</x:v>
      </x:c>
      <x:c r="L54" s="128" t="str">
        <x:v>机械、电源</x:v>
      </x:c>
      <x:c r="M54" s="128" t="str">
        <x:v>胶囊形</x:v>
      </x:c>
      <x:c r="N54" s="128" t="str">
        <x:v>长条形</x:v>
      </x:c>
      <x:c r="O54" s="128" t="str">
        <x:v>Battery（触发器!D31）</x:v>
      </x:c>
      <x:c r="P54" s="128" t="str">
        <x:v>首测候选</x:v>
      </x:c>
      <x:c r="Q54" s="128" t="str">
        <x:v>流派组件</x:v>
      </x:c>
      <x:c r="R54" s="128" t="str">
        <x:v>—</x:v>
      </x:c>
    </x:row>
    <x:row r="55" ht="30" customHeight="1">
      <x:c r="A55" s="134" t="str">
        <x:v>I062</x:v>
      </x:c>
      <x:c r="B55" s="134" t="str">
        <x:v>电动玩具</x:v>
      </x:c>
      <x:c r="C55" s="134" t="str">
        <x:v>普通</x:v>
      </x:c>
      <x:c r="D55" s="135" t="n">
        <x:v>2</x:v>
      </x:c>
      <x:c r="E55" s="134" t="str">
        <x:v>三选一</x:v>
      </x:c>
      <x:c r="F55" s="136" t="str">
        <x:v>是</x:v>
      </x:c>
      <x:c r="G55" s="136" t="str">
        <x:v>永久</x:v>
      </x:c>
      <x:c r="H55" s="134" t="str">
        <x:v>接触时</x:v>
      </x:c>
      <x:c r="I55" s="134" t="str">
        <x:v>初始充能为2。接触其他物品时，花费1充能，自身本回合分值+3。</x:v>
      </x:c>
      <x:c r="J55" s="134" t="str">
        <x:v>每个目标每回合限触发1次；最多4次</x:v>
      </x:c>
      <x:c r="K55" s="134" t="str">
        <x:v>机械</x:v>
      </x:c>
      <x:c r="L55" s="134" t="str">
        <x:v>机械、充能</x:v>
      </x:c>
      <x:c r="M55" s="134" t="str">
        <x:v>方形</x:v>
      </x:c>
      <x:c r="N55" s="134" t="str">
        <x:v>方形</x:v>
      </x:c>
      <x:c r="O55" s="134" t="str">
        <x:v>Juggler（触发器!D47）</x:v>
      </x:c>
      <x:c r="P55" s="134" t="str">
        <x:v>首测候选</x:v>
      </x:c>
      <x:c r="Q55" s="134" t="str">
        <x:v>流派组件</x:v>
      </x:c>
      <x:c r="R55" s="134" t="str">
        <x:v>—</x:v>
      </x:c>
    </x:row>
    <x:row r="56" ht="38" customHeight="1">
      <x:c r="A56" s="128" t="str">
        <x:v>I064</x:v>
      </x:c>
      <x:c r="B56" s="128" t="str">
        <x:v>电容罐</x:v>
      </x:c>
      <x:c r="C56" s="128" t="str">
        <x:v>优秀</x:v>
      </x:c>
      <x:c r="D56" s="129" t="n">
        <x:v>1</x:v>
      </x:c>
      <x:c r="E56" s="128" t="str">
        <x:v>三选一</x:v>
      </x:c>
      <x:c r="F56" s="130" t="str">
        <x:v>是</x:v>
      </x:c>
      <x:c r="G56" s="130" t="str">
        <x:v>永久</x:v>
      </x:c>
      <x:c r="H56" s="128" t="str">
        <x:v>获得充能时 / 结算时</x:v>
      </x:c>
      <x:c r="I56" s="128" t="str">
        <x:v>初始充能为0。每实际获得1充能，自身本回合分值+1。结算时，每剩余1充能，自身本回合分值再+3。</x:v>
      </x:c>
      <x:c r="J56" s="128" t="str">
        <x:v>充能上限5；获得充能奖励最多5次</x:v>
      </x:c>
      <x:c r="K56" s="128" t="str">
        <x:v>机械</x:v>
      </x:c>
      <x:c r="L56" s="128" t="str">
        <x:v>机械、充能</x:v>
      </x:c>
      <x:c r="M56" s="128" t="str">
        <x:v>圆柱形</x:v>
      </x:c>
      <x:c r="N56" s="128" t="str">
        <x:v>圆形</x:v>
      </x:c>
      <x:c r="O56" s="128" t="str">
        <x:v>Capacitor（触发器!D35）</x:v>
      </x:c>
      <x:c r="P56" s="128" t="str">
        <x:v>首测候选</x:v>
      </x:c>
      <x:c r="Q56" s="128" t="str">
        <x:v>流派组件</x:v>
      </x:c>
      <x:c r="R56" s="128" t="str">
        <x:v>—</x:v>
      </x:c>
    </x:row>
    <x:row r="57" ht="38" customHeight="1">
      <x:c r="A57" s="134" t="str">
        <x:v>I067</x:v>
      </x:c>
      <x:c r="B57" s="134" t="str">
        <x:v>复印机</x:v>
      </x:c>
      <x:c r="C57" s="134" t="str">
        <x:v>史诗</x:v>
      </x:c>
      <x:c r="D57" s="135" t="n">
        <x:v>2</x:v>
      </x:c>
      <x:c r="E57" s="134" t="str">
        <x:v>三选一</x:v>
      </x:c>
      <x:c r="F57" s="136" t="str">
        <x:v>是</x:v>
      </x:c>
      <x:c r="G57" s="136" t="str">
        <x:v>永久</x:v>
      </x:c>
      <x:c r="H57" s="134" t="str">
        <x:v>接触时</x:v>
      </x:c>
      <x:c r="I57" s="134" t="str">
        <x:v>初始充能为2。接触商品时，花费1充能，临时生成1张纸影；纸影基础分等于该商品当前分值，上限12。</x:v>
      </x:c>
      <x:c r="J57" s="134" t="str">
        <x:v>每个目标每回合限触发1次；最多2张；不复制原商品的能力或标签</x:v>
      </x:c>
      <x:c r="K57" s="134" t="str">
        <x:v>机械</x:v>
      </x:c>
      <x:c r="L57" s="134" t="str">
        <x:v>机械、充能、生成者</x:v>
      </x:c>
      <x:c r="M57" s="134" t="str">
        <x:v>梯形</x:v>
      </x:c>
      <x:c r="N57" s="134" t="str">
        <x:v>不规则形</x:v>
      </x:c>
      <x:c r="O57" s="134" t="str">
        <x:v>Axe（触发器!D68）；Half-Off Coupon（增益!D57）</x:v>
      </x:c>
      <x:c r="P57" s="134" t="str">
        <x:v>首测候选</x:v>
      </x:c>
      <x:c r="Q57" s="134" t="str">
        <x:v>共通物品</x:v>
      </x:c>
      <x:c r="R57" s="134" t="str">
        <x:v>集市／机械→灵魂：以商品为原本产临时纸影，再交焚化炉；原商品不被复印消耗。</x:v>
      </x:c>
    </x:row>
    <x:row r="58" ht="38" customHeight="1">
      <x:c r="A58" s="128" t="str">
        <x:v>I068</x:v>
      </x:c>
      <x:c r="B58" s="128" t="str">
        <x:v>弹簧台</x:v>
      </x:c>
      <x:c r="C58" s="128" t="str">
        <x:v>普通</x:v>
      </x:c>
      <x:c r="D58" s="129" t="n">
        <x:v>1</x:v>
      </x:c>
      <x:c r="E58" s="128" t="str">
        <x:v>三选一</x:v>
      </x:c>
      <x:c r="F58" s="130" t="str">
        <x:v>是</x:v>
      </x:c>
      <x:c r="G58" s="130" t="str">
        <x:v>永久</x:v>
      </x:c>
      <x:c r="H58" s="128" t="str">
        <x:v>接触时</x:v>
      </x:c>
      <x:c r="I58" s="128" t="str">
        <x:v>接触其他物品时，使该物品本回合分值+1，并将其轻推离自身。</x:v>
      </x:c>
      <x:c r="J58" s="128" t="str">
        <x:v>每个目标每回合限触发1次；最多5个；不检查速度</x:v>
      </x:c>
      <x:c r="K58" s="141" t="str">
        <x:v>中立</x:v>
      </x:c>
      <x:c r="L58" s="128" t="str">
        <x:v>工具、辅助</x:v>
      </x:c>
      <x:c r="M58" s="128" t="str">
        <x:v>扁方形</x:v>
      </x:c>
      <x:c r="N58" s="128" t="str">
        <x:v>方形</x:v>
      </x:c>
      <x:c r="O58" s="128" t="str">
        <x:v>Pinball Bumper（触发器!D21）；Mushroom（触发器!D19）</x:v>
      </x:c>
      <x:c r="P58" s="128" t="str">
        <x:v>扩展</x:v>
      </x:c>
      <x:c r="Q58" s="128" t="str">
        <x:v>中立辅助</x:v>
      </x:c>
      <x:c r="R58" s="128" t="str">
        <x:v>任意构筑：给接触目标少量加分并轻推，帮助创造下一次接触；每回合最多5个目标。</x:v>
      </x:c>
    </x:row>
    <x:row r="59" ht="30" customHeight="1">
      <x:c r="A59" s="134" t="str">
        <x:v>I069</x:v>
      </x:c>
      <x:c r="B59" s="134" t="str">
        <x:v>磁铁</x:v>
      </x:c>
      <x:c r="C59" s="134" t="str">
        <x:v>优秀</x:v>
      </x:c>
      <x:c r="D59" s="135" t="n">
        <x:v>2</x:v>
      </x:c>
      <x:c r="E59" s="134" t="str">
        <x:v>三选一</x:v>
      </x:c>
      <x:c r="F59" s="136" t="str">
        <x:v>是</x:v>
      </x:c>
      <x:c r="G59" s="136" t="str">
        <x:v>永久</x:v>
      </x:c>
      <x:c r="H59" s="134" t="str">
        <x:v>结算时</x:v>
      </x:c>
      <x:c r="I59" s="134" t="str">
        <x:v>接触铁矿块、铁锭或铁屑时，该目标本回合分值+3，自身本回合分值+1。</x:v>
      </x:c>
      <x:c r="J59" s="134" t="str">
        <x:v>每个目标每回合限触发1次；最多4个目标</x:v>
      </x:c>
      <x:c r="K59" s="134" t="str">
        <x:v>机械</x:v>
      </x:c>
      <x:c r="L59" s="134" t="str">
        <x:v>机械、工具</x:v>
      </x:c>
      <x:c r="M59" s="134" t="str">
        <x:v>马蹄形</x:v>
      </x:c>
      <x:c r="N59" s="134" t="str">
        <x:v>凹槽形</x:v>
      </x:c>
      <x:c r="O59" s="134" t="str">
        <x:v>原创</x:v>
      </x:c>
      <x:c r="P59" s="134" t="str">
        <x:v>扩展</x:v>
      </x:c>
      <x:c r="Q59" s="134" t="str">
        <x:v>共通物品</x:v>
      </x:c>
      <x:c r="R59" s="134" t="str">
        <x:v>机械→矿业：只增值铁矿块、铁锭、铁屑；金币和奖杯不能代替。</x:v>
      </x:c>
    </x:row>
    <x:row r="60" ht="52" customHeight="1">
      <x:c r="A60" s="128" t="str">
        <x:v>I070</x:v>
      </x:c>
      <x:c r="B60" s="128" t="str">
        <x:v>计数盘</x:v>
      </x:c>
      <x:c r="C60" s="128" t="str">
        <x:v>普通</x:v>
      </x:c>
      <x:c r="D60" s="129" t="n">
        <x:v>0</x:v>
      </x:c>
      <x:c r="E60" s="128" t="str">
        <x:v>三选一</x:v>
      </x:c>
      <x:c r="F60" s="130" t="str">
        <x:v>是</x:v>
      </x:c>
      <x:c r="G60" s="130" t="str">
        <x:v>永久</x:v>
      </x:c>
      <x:c r="H60" s="128" t="str">
        <x:v>结算时</x:v>
      </x:c>
      <x:c r="I60" s="128" t="str">
        <x:v>结算时，瓶中每有4件物品，自身本回合分值+1。</x:v>
      </x:c>
      <x:c r="J60" s="128" t="str">
        <x:v>计入自身、永久和临时物品；不足4件的部分不计；最多+6；只统计冻结时仍在瓶中的物品</x:v>
      </x:c>
      <x:c r="K60" s="141" t="str">
        <x:v>中立</x:v>
      </x:c>
      <x:c r="L60" s="128" t="str">
        <x:v>计数</x:v>
      </x:c>
      <x:c r="M60" s="128" t="str">
        <x:v>圆形</x:v>
      </x:c>
      <x:c r="N60" s="128" t="str">
        <x:v>圆形</x:v>
      </x:c>
      <x:c r="O60" s="128" t="str">
        <x:v>原创</x:v>
      </x:c>
      <x:c r="P60" s="128" t="str">
        <x:v>首测候选</x:v>
      </x:c>
      <x:c r="Q60" s="128" t="str">
        <x:v>中立过渡</x:v>
      </x:c>
      <x:c r="R60" s="128" t="str">
        <x:v>任意构筑：16件得4分，24件封顶6分；生成流容易保住数量，消耗流会降低收益。</x:v>
      </x:c>
    </x:row>
    <x:row r="61" ht="30" customHeight="1">
      <x:c r="A61" s="134" t="str">
        <x:v>I071</x:v>
      </x:c>
      <x:c r="B61" s="134" t="str">
        <x:v>幽灵之门</x:v>
      </x:c>
      <x:c r="C61" s="134" t="str">
        <x:v>普通</x:v>
      </x:c>
      <x:c r="D61" s="135" t="n">
        <x:v>1</x:v>
      </x:c>
      <x:c r="E61" s="134" t="str">
        <x:v>三选一</x:v>
      </x:c>
      <x:c r="F61" s="136" t="str">
        <x:v>是</x:v>
      </x:c>
      <x:c r="G61" s="136" t="str">
        <x:v>永久</x:v>
      </x:c>
      <x:c r="H61" s="134" t="str">
        <x:v>接触时</x:v>
      </x:c>
      <x:c r="I61" s="134" t="str">
        <x:v>接触灵魂石或引魂灯时，生成1个幽灵。</x:v>
      </x:c>
      <x:c r="J61" s="134" t="str">
        <x:v>每回合限触发1次；不消耗自身或接触目标</x:v>
      </x:c>
      <x:c r="K61" s="134" t="str">
        <x:v>灵魂</x:v>
      </x:c>
      <x:c r="L61" s="134" t="str">
        <x:v>灵魂、生成者</x:v>
      </x:c>
      <x:c r="M61" s="134" t="str">
        <x:v>拱门形</x:v>
      </x:c>
      <x:c r="N61" s="134" t="str">
        <x:v>弧形</x:v>
      </x:c>
      <x:c r="O61" s="134" t="str">
        <x:v>Tombstone（增益!D26）；Douter（增益!D9）</x:v>
      </x:c>
      <x:c r="P61" s="134" t="str">
        <x:v>首测候选</x:v>
      </x:c>
      <x:c r="Q61" s="134" t="str">
        <x:v>流派组件</x:v>
      </x:c>
      <x:c r="R61" s="134" t="str">
        <x:v>—</x:v>
      </x:c>
    </x:row>
    <x:row r="62" ht="38" customHeight="1">
      <x:c r="A62" s="128" t="str">
        <x:v>I072</x:v>
      </x:c>
      <x:c r="B62" s="128" t="str">
        <x:v>墓碑</x:v>
      </x:c>
      <x:c r="C62" s="128" t="str">
        <x:v>优秀</x:v>
      </x:c>
      <x:c r="D62" s="129" t="n">
        <x:v>2</x:v>
      </x:c>
      <x:c r="E62" s="128" t="str">
        <x:v>三选一</x:v>
      </x:c>
      <x:c r="F62" s="130" t="str">
        <x:v>是</x:v>
      </x:c>
      <x:c r="G62" s="130" t="str">
        <x:v>永久</x:v>
      </x:c>
      <x:c r="H62" s="128" t="str">
        <x:v>接触时 / 结算结束时</x:v>
      </x:c>
      <x:c r="I62" s="128" t="str">
        <x:v>接触幽灵时，自身本回合分值+2。结算结束时，若自身存活，且本回合接触过至少3个不同幽灵，自身永久基础分+1。</x:v>
      </x:c>
      <x:c r="J62" s="128" t="str">
        <x:v>每幽灵1次；增值最多4次；永久累计+10封顶</x:v>
      </x:c>
      <x:c r="K62" s="128" t="str">
        <x:v>灵魂</x:v>
      </x:c>
      <x:c r="L62" s="128" t="str">
        <x:v>灵魂、成长</x:v>
      </x:c>
      <x:c r="M62" s="128" t="str">
        <x:v>拱顶长方形</x:v>
      </x:c>
      <x:c r="N62" s="128" t="str">
        <x:v>弧形</x:v>
      </x:c>
      <x:c r="O62" s="128" t="str">
        <x:v>Museum（触发器!D87）</x:v>
      </x:c>
      <x:c r="P62" s="128" t="str">
        <x:v>扩展</x:v>
      </x:c>
      <x:c r="Q62" s="128" t="str">
        <x:v>流派组件</x:v>
      </x:c>
      <x:c r="R62" s="128" t="str">
        <x:v>—</x:v>
      </x:c>
    </x:row>
    <x:row r="63" ht="38" customHeight="1">
      <x:c r="A63" s="134" t="str">
        <x:v>I073</x:v>
      </x:c>
      <x:c r="B63" s="134" t="str">
        <x:v>灵魂石</x:v>
      </x:c>
      <x:c r="C63" s="134" t="str">
        <x:v>优秀</x:v>
      </x:c>
      <x:c r="D63" s="135" t="n">
        <x:v>2</x:v>
      </x:c>
      <x:c r="E63" s="134" t="str">
        <x:v>三选一</x:v>
      </x:c>
      <x:c r="F63" s="136" t="str">
        <x:v>是</x:v>
      </x:c>
      <x:c r="G63" s="136" t="str">
        <x:v>永久</x:v>
      </x:c>
      <x:c r="H63" s="134" t="str">
        <x:v>接触时</x:v>
      </x:c>
      <x:c r="I63" s="134" t="str">
        <x:v>接触幽灵时，消耗该幽灵，自身本回合分值增加（该幽灵被消耗前的当前分值+3）。</x:v>
      </x:c>
      <x:c r="J63" s="134" t="str">
        <x:v>每回合最多2个</x:v>
      </x:c>
      <x:c r="K63" s="134" t="str">
        <x:v>灵魂</x:v>
      </x:c>
      <x:c r="L63" s="134" t="str">
        <x:v>灵魂、消耗者</x:v>
      </x:c>
      <x:c r="M63" s="134" t="str">
        <x:v>菱形</x:v>
      </x:c>
      <x:c r="N63" s="134" t="str">
        <x:v>不规则形</x:v>
      </x:c>
      <x:c r="O63" s="134" t="str">
        <x:v>Hungry Mouth（触发器!D45）</x:v>
      </x:c>
      <x:c r="P63" s="134" t="str">
        <x:v>首测候选</x:v>
      </x:c>
      <x:c r="Q63" s="134" t="str">
        <x:v>流派组件</x:v>
      </x:c>
      <x:c r="R63" s="134" t="str">
        <x:v>—</x:v>
      </x:c>
    </x:row>
    <x:row r="64" ht="38" customHeight="1">
      <x:c r="A64" s="128" t="str">
        <x:v>I074</x:v>
      </x:c>
      <x:c r="B64" s="128" t="str">
        <x:v>纸人</x:v>
      </x:c>
      <x:c r="C64" s="128" t="str">
        <x:v>普通</x:v>
      </x:c>
      <x:c r="D64" s="129" t="n">
        <x:v>2</x:v>
      </x:c>
      <x:c r="E64" s="128" t="str">
        <x:v>三选一</x:v>
      </x:c>
      <x:c r="F64" s="130" t="str">
        <x:v>是</x:v>
      </x:c>
      <x:c r="G64" s="130" t="str">
        <x:v>永久</x:v>
      </x:c>
      <x:c r="H64" s="128" t="str">
        <x:v>被消耗时</x:v>
      </x:c>
      <x:c r="I64" s="128" t="str">
        <x:v>被消耗时，生成1个幽灵，并使消耗者本回合分值+2。</x:v>
      </x:c>
      <x:c r="J64" s="128" t="str">
        <x:v>同一物品每回合限触发1次；无消耗者时只生成</x:v>
      </x:c>
      <x:c r="K64" s="128" t="str">
        <x:v>灵魂</x:v>
      </x:c>
      <x:c r="L64" s="128" t="str">
        <x:v>灵魂、消耗材料、生成者</x:v>
      </x:c>
      <x:c r="M64" s="128" t="str">
        <x:v>人字形</x:v>
      </x:c>
      <x:c r="N64" s="128" t="str">
        <x:v>不规则形</x:v>
      </x:c>
      <x:c r="O64" s="128" t="str">
        <x:v>Tombstone（增益!D26）</x:v>
      </x:c>
      <x:c r="P64" s="128" t="str">
        <x:v>首测候选</x:v>
      </x:c>
      <x:c r="Q64" s="128" t="str">
        <x:v>流派组件</x:v>
      </x:c>
      <x:c r="R64" s="128" t="str">
        <x:v>—</x:v>
      </x:c>
    </x:row>
    <x:row r="65" ht="30" customHeight="1">
      <x:c r="A65" s="134" t="str">
        <x:v>I075</x:v>
      </x:c>
      <x:c r="B65" s="134" t="str">
        <x:v>引魂灯</x:v>
      </x:c>
      <x:c r="C65" s="134" t="str">
        <x:v>稀有</x:v>
      </x:c>
      <x:c r="D65" s="135" t="n">
        <x:v>2</x:v>
      </x:c>
      <x:c r="E65" s="134" t="str">
        <x:v>三选一</x:v>
      </x:c>
      <x:c r="F65" s="136" t="str">
        <x:v>是</x:v>
      </x:c>
      <x:c r="G65" s="136" t="str">
        <x:v>永久</x:v>
      </x:c>
      <x:c r="H65" s="134" t="str">
        <x:v>结算时</x:v>
      </x:c>
      <x:c r="I65" s="134" t="str">
        <x:v>结算时，与自身接触的幽灵各本回合分值+3。</x:v>
      </x:c>
      <x:c r="J65" s="134" t="str">
        <x:v>最多影响4个</x:v>
      </x:c>
      <x:c r="K65" s="134" t="str">
        <x:v>灵魂</x:v>
      </x:c>
      <x:c r="L65" s="134" t="str">
        <x:v>灵魂、辅助</x:v>
      </x:c>
      <x:c r="M65" s="134" t="str">
        <x:v>灯笼形</x:v>
      </x:c>
      <x:c r="N65" s="134" t="str">
        <x:v>不规则形</x:v>
      </x:c>
      <x:c r="O65" s="134" t="str">
        <x:v>Shopping List（增益!D24）</x:v>
      </x:c>
      <x:c r="P65" s="134" t="str">
        <x:v>扩展</x:v>
      </x:c>
      <x:c r="Q65" s="134" t="str">
        <x:v>流派组件</x:v>
      </x:c>
      <x:c r="R65" s="134" t="str">
        <x:v>—</x:v>
      </x:c>
    </x:row>
    <x:row r="66" ht="30" customHeight="1">
      <x:c r="A66" s="128" t="str">
        <x:v>I076</x:v>
      </x:c>
      <x:c r="B66" s="128" t="str">
        <x:v>焚化炉</x:v>
      </x:c>
      <x:c r="C66" s="128" t="str">
        <x:v>稀有</x:v>
      </x:c>
      <x:c r="D66" s="129" t="n">
        <x:v>1</x:v>
      </x:c>
      <x:c r="E66" s="128" t="str">
        <x:v>三选一</x:v>
      </x:c>
      <x:c r="F66" s="130" t="str">
        <x:v>是</x:v>
      </x:c>
      <x:c r="G66" s="130" t="str">
        <x:v>永久</x:v>
      </x:c>
      <x:c r="H66" s="128" t="str">
        <x:v>接触时</x:v>
      </x:c>
      <x:c r="I66" s="128" t="str">
        <x:v>接触纸人或纸影时，消耗该物品，临时生成1团魂火，并直接计分4。</x:v>
      </x:c>
      <x:c r="J66" s="128" t="str">
        <x:v>每回合最多触发2次</x:v>
      </x:c>
      <x:c r="K66" s="128" t="str">
        <x:v>灵魂</x:v>
      </x:c>
      <x:c r="L66" s="128" t="str">
        <x:v>灵魂、工具、生成者</x:v>
      </x:c>
      <x:c r="M66" s="128" t="str">
        <x:v>方形</x:v>
      </x:c>
      <x:c r="N66" s="128" t="str">
        <x:v>方形</x:v>
      </x:c>
      <x:c r="O66" s="128" t="str">
        <x:v>Douter（增益!D9）；Tombstone（增益!D26）</x:v>
      </x:c>
      <x:c r="P66" s="128" t="str">
        <x:v>首测候选</x:v>
      </x:c>
      <x:c r="Q66" s="128" t="str">
        <x:v>流派组件</x:v>
      </x:c>
      <x:c r="R66" s="128" t="str">
        <x:v>—</x:v>
      </x:c>
    </x:row>
    <x:row r="67" ht="38" customHeight="1">
      <x:c r="A67" s="134" t="str">
        <x:v>I077</x:v>
      </x:c>
      <x:c r="B67" s="134" t="str">
        <x:v>亡语铃</x:v>
      </x:c>
      <x:c r="C67" s="134" t="str">
        <x:v>优秀</x:v>
      </x:c>
      <x:c r="D67" s="135" t="n">
        <x:v>2</x:v>
      </x:c>
      <x:c r="E67" s="134" t="str">
        <x:v>三选一</x:v>
      </x:c>
      <x:c r="F67" s="136" t="str">
        <x:v>是</x:v>
      </x:c>
      <x:c r="G67" s="136" t="str">
        <x:v>永久</x:v>
      </x:c>
      <x:c r="H67" s="134" t="str">
        <x:v>物品被消耗时</x:v>
      </x:c>
      <x:c r="I67" s="134" t="str">
        <x:v>自身正在接触的物品被消耗时，自身本回合分值+3。</x:v>
      </x:c>
      <x:c r="J67" s="134" t="str">
        <x:v>每个目标每回合限触发1次；最多4个；自身必须存活</x:v>
      </x:c>
      <x:c r="K67" s="134" t="str">
        <x:v>灵魂</x:v>
      </x:c>
      <x:c r="L67" s="134" t="str">
        <x:v>灵魂、辅助</x:v>
      </x:c>
      <x:c r="M67" s="134" t="str">
        <x:v>钟形</x:v>
      </x:c>
      <x:c r="N67" s="134" t="str">
        <x:v>不规则形</x:v>
      </x:c>
      <x:c r="O67" s="134" t="str">
        <x:v>Smokestack（增益!D25）</x:v>
      </x:c>
      <x:c r="P67" s="134" t="str">
        <x:v>首测候选</x:v>
      </x:c>
      <x:c r="Q67" s="134" t="str">
        <x:v>共通物品</x:v>
      </x:c>
      <x:c r="R67" s="134" t="str">
        <x:v>灵魂→各类消耗：接触即将被消耗的物品时得分，不要求目标属于灵魂流派。</x:v>
      </x:c>
    </x:row>
    <x:row r="68" ht="38" customHeight="1">
      <x:c r="A68" s="128" t="str">
        <x:v>I079</x:v>
      </x:c>
      <x:c r="B68" s="128" t="str">
        <x:v>轮回匣</x:v>
      </x:c>
      <x:c r="C68" s="128" t="str">
        <x:v>史诗</x:v>
      </x:c>
      <x:c r="D68" s="129" t="n">
        <x:v>2</x:v>
      </x:c>
      <x:c r="E68" s="128" t="str">
        <x:v>三选一</x:v>
      </x:c>
      <x:c r="F68" s="130" t="str">
        <x:v>是</x:v>
      </x:c>
      <x:c r="G68" s="130" t="str">
        <x:v>永久</x:v>
      </x:c>
      <x:c r="H68" s="128" t="str">
        <x:v>接触时</x:v>
      </x:c>
      <x:c r="I68" s="128" t="str">
        <x:v>接触幽灵时，若本回合弃牌堆中有基础分不超过3的永久物品，先选中其中最早被消耗的1件，再消耗该幽灵，并复活选中的物品。</x:v>
      </x:c>
      <x:c r="J68" s="128" t="str">
        <x:v>每回合限触发1次；先选复活对象，再消耗幽灵；保留已用次数</x:v>
      </x:c>
      <x:c r="K68" s="128" t="str">
        <x:v>灵魂</x:v>
      </x:c>
      <x:c r="L68" s="128" t="str">
        <x:v>灵魂、工具</x:v>
      </x:c>
      <x:c r="M68" s="128" t="str">
        <x:v>六边形</x:v>
      </x:c>
      <x:c r="N68" s="128" t="str">
        <x:v>不规则形</x:v>
      </x:c>
      <x:c r="O68" s="128" t="str">
        <x:v>Spell of Rebirth（触发器!D125）</x:v>
      </x:c>
      <x:c r="P68" s="128" t="str">
        <x:v>扩展</x:v>
      </x:c>
      <x:c r="Q68" s="128" t="str">
        <x:v>流派组件</x:v>
      </x:c>
      <x:c r="R68" s="128" t="str">
        <x:v>—</x:v>
      </x:c>
    </x:row>
    <x:row r="69" ht="38" customHeight="1">
      <x:c r="A69" s="134" t="str">
        <x:v>I080</x:v>
      </x:c>
      <x:c r="B69" s="134" t="str">
        <x:v>守墓人</x:v>
      </x:c>
      <x:c r="C69" s="134" t="str">
        <x:v>稀有</x:v>
      </x:c>
      <x:c r="D69" s="135" t="n">
        <x:v>3</x:v>
      </x:c>
      <x:c r="E69" s="134" t="str">
        <x:v>三选一</x:v>
      </x:c>
      <x:c r="F69" s="136" t="str">
        <x:v>是</x:v>
      </x:c>
      <x:c r="G69" s="136" t="str">
        <x:v>永久</x:v>
      </x:c>
      <x:c r="H69" s="134" t="str">
        <x:v>结算时</x:v>
      </x:c>
      <x:c r="I69" s="134" t="str">
        <x:v>结算时，本回合弃牌堆中有至少3件永久物品时，所有存活灵魂物品结算倍率+50%。</x:v>
      </x:c>
      <x:c r="J69" s="134" t="str">
        <x:v>每回合限触发1次；已复活的物品不计入弃牌堆</x:v>
      </x:c>
      <x:c r="K69" s="134" t="str">
        <x:v>灵魂</x:v>
      </x:c>
      <x:c r="L69" s="134" t="str">
        <x:v>灵魂、结算核心</x:v>
      </x:c>
      <x:c r="M69" s="134" t="str">
        <x:v>棋子形</x:v>
      </x:c>
      <x:c r="N69" s="134" t="str">
        <x:v>不规则形</x:v>
      </x:c>
      <x:c r="O69" s="134" t="str">
        <x:v>Trash Can（触发器!D100）</x:v>
      </x:c>
      <x:c r="P69" s="134" t="str">
        <x:v>扩展</x:v>
      </x:c>
      <x:c r="Q69" s="134" t="str">
        <x:v>流派组件</x:v>
      </x:c>
      <x:c r="R69" s="134" t="str">
        <x:v>—</x:v>
      </x:c>
    </x:row>
    <x:row r="70" ht="30" customHeight="1">
      <x:c r="A70" s="128" t="str">
        <x:v>I081</x:v>
      </x:c>
      <x:c r="B70" s="128" t="str">
        <x:v>紫水晶</x:v>
      </x:c>
      <x:c r="C70" s="128" t="str">
        <x:v>优秀</x:v>
      </x:c>
      <x:c r="D70" s="129" t="n">
        <x:v>3</x:v>
      </x:c>
      <x:c r="E70" s="128" t="str">
        <x:v>三选一</x:v>
      </x:c>
      <x:c r="F70" s="130" t="str">
        <x:v>是</x:v>
      </x:c>
      <x:c r="G70" s="130" t="str">
        <x:v>永久</x:v>
      </x:c>
      <x:c r="H70" s="128" t="str">
        <x:v>结算时</x:v>
      </x:c>
      <x:c r="I70" s="128" t="str">
        <x:v>结算时，与自身接触的其他宝石每有1件，自身和该宝石的本回合分值各+2。</x:v>
      </x:c>
      <x:c r="J70" s="128" t="str">
        <x:v>最多计3件</x:v>
      </x:c>
      <x:c r="K70" s="128" t="str">
        <x:v>宝石</x:v>
      </x:c>
      <x:c r="L70" s="128" t="str">
        <x:v>宝石、共鸣</x:v>
      </x:c>
      <x:c r="M70" s="128" t="str">
        <x:v>六边形</x:v>
      </x:c>
      <x:c r="N70" s="128" t="str">
        <x:v>不规则形</x:v>
      </x:c>
      <x:c r="O70" s="128" t="str">
        <x:v>Amethyst（触发器!D103）</x:v>
      </x:c>
      <x:c r="P70" s="128" t="str">
        <x:v>首测候选</x:v>
      </x:c>
      <x:c r="Q70" s="128" t="str">
        <x:v>流派组件</x:v>
      </x:c>
      <x:c r="R70" s="128" t="str">
        <x:v>—</x:v>
      </x:c>
    </x:row>
    <x:row r="71" ht="38" customHeight="1">
      <x:c r="A71" s="134" t="str">
        <x:v>I082</x:v>
      </x:c>
      <x:c r="B71" s="134" t="str">
        <x:v>黄水晶</x:v>
      </x:c>
      <x:c r="C71" s="134" t="str">
        <x:v>稀有</x:v>
      </x:c>
      <x:c r="D71" s="135" t="n">
        <x:v>3</x:v>
      </x:c>
      <x:c r="E71" s="134" t="str">
        <x:v>三选一</x:v>
      </x:c>
      <x:c r="F71" s="136" t="str">
        <x:v>是</x:v>
      </x:c>
      <x:c r="G71" s="136" t="str">
        <x:v>永久</x:v>
      </x:c>
      <x:c r="H71" s="134" t="str">
        <x:v>结算结束时</x:v>
      </x:c>
      <x:c r="I71" s="134" t="str">
        <x:v>结算结束时，与自身接触的成长物品中，永久基础分最低者永久基础分+1。</x:v>
      </x:c>
      <x:c r="J71" s="134" t="str">
        <x:v>每回合1件；同一目标每回合仅受1颗黄水晶增值</x:v>
      </x:c>
      <x:c r="K71" s="134" t="str">
        <x:v>宝石</x:v>
      </x:c>
      <x:c r="L71" s="134" t="str">
        <x:v>宝石、成长辅助</x:v>
      </x:c>
      <x:c r="M71" s="134" t="str">
        <x:v>菱形</x:v>
      </x:c>
      <x:c r="N71" s="134" t="str">
        <x:v>不规则形</x:v>
      </x:c>
      <x:c r="O71" s="134" t="str">
        <x:v>Citrine（触发器!D107）</x:v>
      </x:c>
      <x:c r="P71" s="134" t="str">
        <x:v>首测候选</x:v>
      </x:c>
      <x:c r="Q71" s="134" t="str">
        <x:v>共通物品</x:v>
      </x:c>
      <x:c r="R71" s="134" t="str">
        <x:v>宝石→种植／结算：培养带成长标签的物品；不会让无成长标签的中立物品获得永久成长。</x:v>
      </x:c>
    </x:row>
    <x:row r="72" ht="38" customHeight="1">
      <x:c r="A72" s="128" t="str">
        <x:v>I083</x:v>
      </x:c>
      <x:c r="B72" s="128" t="str">
        <x:v>雷晶石</x:v>
      </x:c>
      <x:c r="C72" s="128" t="str">
        <x:v>稀有</x:v>
      </x:c>
      <x:c r="D72" s="129" t="n">
        <x:v>3</x:v>
      </x:c>
      <x:c r="E72" s="128" t="str">
        <x:v>三选一</x:v>
      </x:c>
      <x:c r="F72" s="130" t="str">
        <x:v>是</x:v>
      </x:c>
      <x:c r="G72" s="130" t="str">
        <x:v>永久</x:v>
      </x:c>
      <x:c r="H72" s="128" t="str">
        <x:v>接触时</x:v>
      </x:c>
      <x:c r="I72" s="128" t="str">
        <x:v>接触充能物品时，使该物品充能+1。</x:v>
      </x:c>
      <x:c r="J72" s="128" t="str">
        <x:v>每个目标每回合限触发1次；最多3个目标；实际充能增加才扣次数</x:v>
      </x:c>
      <x:c r="K72" s="128" t="str">
        <x:v>宝石</x:v>
      </x:c>
      <x:c r="L72" s="128" t="str">
        <x:v>宝石、充能辅助</x:v>
      </x:c>
      <x:c r="M72" s="128" t="str">
        <x:v>多边形</x:v>
      </x:c>
      <x:c r="N72" s="128" t="str">
        <x:v>不规则形</x:v>
      </x:c>
      <x:c r="O72" s="128" t="str">
        <x:v>Garnet（触发器!D111）</x:v>
      </x:c>
      <x:c r="P72" s="128" t="str">
        <x:v>首测候选</x:v>
      </x:c>
      <x:c r="Q72" s="128" t="str">
        <x:v>共通物品</x:v>
      </x:c>
      <x:c r="R72" s="128" t="str">
        <x:v>宝石→机械／种植：给玩具、电容、复印机或水井充能；不能给小电池补电。</x:v>
      </x:c>
    </x:row>
    <x:row r="73" ht="38" customHeight="1">
      <x:c r="A73" s="134" t="str">
        <x:v>I085</x:v>
      </x:c>
      <x:c r="B73" s="134" t="str">
        <x:v>黄玉</x:v>
      </x:c>
      <x:c r="C73" s="134" t="str">
        <x:v>史诗</x:v>
      </x:c>
      <x:c r="D73" s="135" t="n">
        <x:v>3</x:v>
      </x:c>
      <x:c r="E73" s="134" t="str">
        <x:v>三选一</x:v>
      </x:c>
      <x:c r="F73" s="136" t="str">
        <x:v>是</x:v>
      </x:c>
      <x:c r="G73" s="136" t="str">
        <x:v>永久</x:v>
      </x:c>
      <x:c r="H73" s="134" t="str">
        <x:v>生成物品时</x:v>
      </x:c>
      <x:c r="I73" s="134" t="str">
        <x:v>与自身接触的物品生成商品时，追加生成1件同种商品。</x:v>
      </x:c>
      <x:c r="J73" s="134" t="str">
        <x:v>每回合1件；多个黄玉不能复制同一次生成</x:v>
      </x:c>
      <x:c r="K73" s="134" t="str">
        <x:v>宝石</x:v>
      </x:c>
      <x:c r="L73" s="134" t="str">
        <x:v>宝石、生成辅助</x:v>
      </x:c>
      <x:c r="M73" s="134" t="str">
        <x:v>菱形</x:v>
      </x:c>
      <x:c r="N73" s="134" t="str">
        <x:v>不规则形</x:v>
      </x:c>
      <x:c r="O73" s="134" t="str">
        <x:v>Topaz（触发器!D126）</x:v>
      </x:c>
      <x:c r="P73" s="134" t="str">
        <x:v>扩展</x:v>
      </x:c>
      <x:c r="Q73" s="134" t="str">
        <x:v>共通物品</x:v>
      </x:c>
      <x:c r="R73" s="134" t="str">
        <x:v>宝石→商品生产：接触生产者以追加1件商品；可用于农产、餐食、矿产，不能追加水珠或幽灵。</x:v>
      </x:c>
    </x:row>
    <x:row r="74" ht="30" customHeight="1">
      <x:c r="A74" s="128" t="str">
        <x:v>I086</x:v>
      </x:c>
      <x:c r="B74" s="128" t="str">
        <x:v>棱镜</x:v>
      </x:c>
      <x:c r="C74" s="128" t="str">
        <x:v>稀有</x:v>
      </x:c>
      <x:c r="D74" s="129" t="n">
        <x:v>2</x:v>
      </x:c>
      <x:c r="E74" s="128" t="str">
        <x:v>三选一</x:v>
      </x:c>
      <x:c r="F74" s="130" t="str">
        <x:v>是</x:v>
      </x:c>
      <x:c r="G74" s="130" t="str">
        <x:v>永久</x:v>
      </x:c>
      <x:c r="H74" s="128" t="str">
        <x:v>结算时</x:v>
      </x:c>
      <x:c r="I74" s="128" t="str">
        <x:v>结算时，与自身接触的宝石每有1种不同名称，自身本回合分值+3。</x:v>
      </x:c>
      <x:c r="J74" s="128" t="str">
        <x:v>最多计4种</x:v>
      </x:c>
      <x:c r="K74" s="128" t="str">
        <x:v>宝石</x:v>
      </x:c>
      <x:c r="L74" s="128" t="str">
        <x:v>宝石、结算辅助</x:v>
      </x:c>
      <x:c r="M74" s="128" t="str">
        <x:v>三角形</x:v>
      </x:c>
      <x:c r="N74" s="128" t="str">
        <x:v>三角形</x:v>
      </x:c>
      <x:c r="O74" s="128" t="str">
        <x:v>Rainbow（触发器!D90）</x:v>
      </x:c>
      <x:c r="P74" s="128" t="str">
        <x:v>扩展</x:v>
      </x:c>
      <x:c r="Q74" s="128" t="str">
        <x:v>流派组件</x:v>
      </x:c>
      <x:c r="R74" s="128" t="str">
        <x:v>—</x:v>
      </x:c>
    </x:row>
    <x:row r="75" ht="30" customHeight="1">
      <x:c r="A75" s="134" t="str">
        <x:v>I087</x:v>
      </x:c>
      <x:c r="B75" s="134" t="str">
        <x:v>共鸣石</x:v>
      </x:c>
      <x:c r="C75" s="134" t="str">
        <x:v>普通</x:v>
      </x:c>
      <x:c r="D75" s="135" t="n">
        <x:v>2</x:v>
      </x:c>
      <x:c r="E75" s="134" t="str">
        <x:v>三选一</x:v>
      </x:c>
      <x:c r="F75" s="136" t="str">
        <x:v>是</x:v>
      </x:c>
      <x:c r="G75" s="136" t="str">
        <x:v>永久</x:v>
      </x:c>
      <x:c r="H75" s="134" t="str">
        <x:v>结算时</x:v>
      </x:c>
      <x:c r="I75" s="134" t="str">
        <x:v>结算时，所在宝石接触组有至少3件时，自身本回合分值+5。</x:v>
      </x:c>
      <x:c r="J75" s="134" t="str">
        <x:v>每件物品每回合限触发1次</x:v>
      </x:c>
      <x:c r="K75" s="134" t="str">
        <x:v>宝石</x:v>
      </x:c>
      <x:c r="L75" s="134" t="str">
        <x:v>宝石、共鸣</x:v>
      </x:c>
      <x:c r="M75" s="134" t="str">
        <x:v>圆形</x:v>
      </x:c>
      <x:c r="N75" s="134" t="str">
        <x:v>圆形</x:v>
      </x:c>
      <x:c r="O75" s="134" t="str">
        <x:v>Amethyst（触发器!D103）</x:v>
      </x:c>
      <x:c r="P75" s="134" t="str">
        <x:v>首测候选</x:v>
      </x:c>
      <x:c r="Q75" s="134" t="str">
        <x:v>流派组件</x:v>
      </x:c>
      <x:c r="R75" s="134" t="str">
        <x:v>—</x:v>
      </x:c>
    </x:row>
    <x:row r="76" ht="30" customHeight="1">
      <x:c r="A76" s="128" t="str">
        <x:v>I088</x:v>
      </x:c>
      <x:c r="B76" s="128" t="str">
        <x:v>调音叉</x:v>
      </x:c>
      <x:c r="C76" s="128" t="str">
        <x:v>优秀</x:v>
      </x:c>
      <x:c r="D76" s="129" t="n">
        <x:v>1</x:v>
      </x:c>
      <x:c r="E76" s="128" t="str">
        <x:v>三选一</x:v>
      </x:c>
      <x:c r="F76" s="130" t="str">
        <x:v>是</x:v>
      </x:c>
      <x:c r="G76" s="130" t="str">
        <x:v>永久</x:v>
      </x:c>
      <x:c r="H76" s="128" t="str">
        <x:v>接触时</x:v>
      </x:c>
      <x:c r="I76" s="128" t="str">
        <x:v>接触共鸣物品时，双方本回合分值各+2。</x:v>
      </x:c>
      <x:c r="J76" s="128" t="str">
        <x:v>每个目标每回合限触发1次；最多4件</x:v>
      </x:c>
      <x:c r="K76" s="128" t="str">
        <x:v>宝石</x:v>
      </x:c>
      <x:c r="L76" s="128" t="str">
        <x:v>工具、共鸣</x:v>
      </x:c>
      <x:c r="M76" s="128" t="str">
        <x:v>叉形</x:v>
      </x:c>
      <x:c r="N76" s="128" t="str">
        <x:v>不规则形</x:v>
      </x:c>
      <x:c r="O76" s="128" t="str">
        <x:v>原创</x:v>
      </x:c>
      <x:c r="P76" s="128" t="str">
        <x:v>首测候选</x:v>
      </x:c>
      <x:c r="Q76" s="128" t="str">
        <x:v>流派组件</x:v>
      </x:c>
      <x:c r="R76" s="128" t="str">
        <x:v>—</x:v>
      </x:c>
    </x:row>
    <x:row r="77" ht="38" customHeight="1">
      <x:c r="A77" s="134" t="str">
        <x:v>I090</x:v>
      </x:c>
      <x:c r="B77" s="134" t="str">
        <x:v>镜片</x:v>
      </x:c>
      <x:c r="C77" s="134" t="str">
        <x:v>稀有</x:v>
      </x:c>
      <x:c r="D77" s="135" t="n">
        <x:v>2</x:v>
      </x:c>
      <x:c r="E77" s="134" t="str">
        <x:v>三选一</x:v>
      </x:c>
      <x:c r="F77" s="136" t="str">
        <x:v>是</x:v>
      </x:c>
      <x:c r="G77" s="136" t="str">
        <x:v>永久</x:v>
      </x:c>
      <x:c r="H77" s="134" t="str">
        <x:v>结算时</x:v>
      </x:c>
      <x:c r="I77" s="134" t="str">
        <x:v>结算时，自身本回合分值增加与自身接触的物品中最高冻结分值的50%，向下取整。</x:v>
      </x:c>
      <x:c r="J77" s="134" t="str">
        <x:v>只读取冻结分值，不读取结算中的增量</x:v>
      </x:c>
      <x:c r="K77" s="134" t="str">
        <x:v>宝石</x:v>
      </x:c>
      <x:c r="L77" s="134" t="str">
        <x:v>宝石、结算辅助</x:v>
      </x:c>
      <x:c r="M77" s="134" t="str">
        <x:v>扁圆形</x:v>
      </x:c>
      <x:c r="N77" s="134" t="str">
        <x:v>圆形</x:v>
      </x:c>
      <x:c r="O77" s="134" t="str">
        <x:v>原创</x:v>
      </x:c>
      <x:c r="P77" s="134" t="str">
        <x:v>首测候选</x:v>
      </x:c>
      <x:c r="Q77" s="134" t="str">
        <x:v>共通物品</x:v>
      </x:c>
      <x:c r="R77" s="134" t="str">
        <x:v>宝石→高分构筑：复制接触物品最高冻结分值的一部分；不读取其结算阶段才获得的加分。</x:v>
      </x:c>
    </x:row>
    <x:row r="78" ht="52" customHeight="1">
      <x:c r="A78" s="128" t="str">
        <x:v>I091</x:v>
      </x:c>
      <x:c r="B78" s="128" t="str">
        <x:v>木剑</x:v>
      </x:c>
      <x:c r="C78" s="128" t="str">
        <x:v>普通</x:v>
      </x:c>
      <x:c r="D78" s="129" t="n">
        <x:v>2</x:v>
      </x:c>
      <x:c r="E78" s="128" t="str">
        <x:v>三选一</x:v>
      </x:c>
      <x:c r="F78" s="130" t="str">
        <x:v>是</x:v>
      </x:c>
      <x:c r="G78" s="130" t="str">
        <x:v>永久</x:v>
      </x:c>
      <x:c r="H78" s="128" t="str">
        <x:v>接触时</x:v>
      </x:c>
      <x:c r="I78" s="128" t="str">
        <x:v>接触可攻击物品时，对其造成1点伤害；成功造成伤害后，自身本回合分值+2。</x:v>
      </x:c>
      <x:c r="J78" s="128" t="str">
        <x:v>每回合最多成功攻击3次；可重复攻击同一目标，但须分离后再接触；持续接触不重复攻击</x:v>
      </x:c>
      <x:c r="K78" s="128" t="str">
        <x:v>探险</x:v>
      </x:c>
      <x:c r="L78" s="128" t="str">
        <x:v>装备、工具</x:v>
      </x:c>
      <x:c r="M78" s="128" t="str">
        <x:v>细长形</x:v>
      </x:c>
      <x:c r="N78" s="128" t="str">
        <x:v>长条形</x:v>
      </x:c>
      <x:c r="O78" s="128" t="str">
        <x:v>Sword（触发器!D58）</x:v>
      </x:c>
      <x:c r="P78" s="128" t="str">
        <x:v>首测候选</x:v>
      </x:c>
      <x:c r="Q78" s="128" t="str">
        <x:v>流派组件</x:v>
      </x:c>
      <x:c r="R78" s="128" t="str">
        <x:v>—</x:v>
      </x:c>
    </x:row>
    <x:row r="79" ht="30" customHeight="1">
      <x:c r="A79" s="134" t="str">
        <x:v>I096</x:v>
      </x:c>
      <x:c r="B79" s="134" t="str">
        <x:v>地图</x:v>
      </x:c>
      <x:c r="C79" s="134" t="str">
        <x:v>稀有</x:v>
      </x:c>
      <x:c r="D79" s="135" t="n">
        <x:v>2</x:v>
      </x:c>
      <x:c r="E79" s="134" t="str">
        <x:v>三选一</x:v>
      </x:c>
      <x:c r="F79" s="136" t="str">
        <x:v>是</x:v>
      </x:c>
      <x:c r="G79" s="136" t="str">
        <x:v>永久</x:v>
      </x:c>
      <x:c r="H79" s="134" t="str">
        <x:v>结算时</x:v>
      </x:c>
      <x:c r="I79" s="134" t="str">
        <x:v>结算时，使与自身接触的探险物品各本回合分值+4。</x:v>
      </x:c>
      <x:c r="J79" s="134" t="str">
        <x:v>最多3个目标；不包含自身</x:v>
      </x:c>
      <x:c r="K79" s="134" t="str">
        <x:v>探险</x:v>
      </x:c>
      <x:c r="L79" s="134" t="str">
        <x:v>装备、探险辅助</x:v>
      </x:c>
      <x:c r="M79" s="134" t="str">
        <x:v>方形</x:v>
      </x:c>
      <x:c r="N79" s="134" t="str">
        <x:v>方形</x:v>
      </x:c>
      <x:c r="O79" s="134" t="str">
        <x:v>Map（触发器!D85）</x:v>
      </x:c>
      <x:c r="P79" s="134" t="str">
        <x:v>首测候选</x:v>
      </x:c>
      <x:c r="Q79" s="134" t="str">
        <x:v>流派组件</x:v>
      </x:c>
      <x:c r="R79" s="134" t="str">
        <x:v>—</x:v>
      </x:c>
    </x:row>
    <x:row r="80" ht="30" customHeight="1">
      <x:c r="A80" s="128" t="str">
        <x:v>I097</x:v>
      </x:c>
      <x:c r="B80" s="128" t="str">
        <x:v>钥匙</x:v>
      </x:c>
      <x:c r="C80" s="128" t="str">
        <x:v>普通</x:v>
      </x:c>
      <x:c r="D80" s="129" t="n">
        <x:v>1</x:v>
      </x:c>
      <x:c r="E80" s="128" t="str">
        <x:v>三选一；生成：遗物备用钥匙圈</x:v>
      </x:c>
      <x:c r="F80" s="130" t="str">
        <x:v>是</x:v>
      </x:c>
      <x:c r="G80" s="130" t="str">
        <x:v>永久</x:v>
      </x:c>
      <x:c r="H80" s="128" t="str">
        <x:v>被消耗时</x:v>
      </x:c>
      <x:c r="I80" s="128" t="str">
        <x:v>被宝箱消耗时，直接计分3。</x:v>
      </x:c>
      <x:c r="J80" s="128" t="str">
        <x:v>同一物品每回合限触发1次</x:v>
      </x:c>
      <x:c r="K80" s="128" t="str">
        <x:v>探险</x:v>
      </x:c>
      <x:c r="L80" s="128" t="str">
        <x:v>探险、消耗材料</x:v>
      </x:c>
      <x:c r="M80" s="128" t="str">
        <x:v>钥匙形</x:v>
      </x:c>
      <x:c r="N80" s="128" t="str">
        <x:v>不规则形</x:v>
      </x:c>
      <x:c r="O80" s="128" t="str">
        <x:v>Treasure Chest（触发器!D61）</x:v>
      </x:c>
      <x:c r="P80" s="128" t="str">
        <x:v>首测候选</x:v>
      </x:c>
      <x:c r="Q80" s="128" t="str">
        <x:v>流派组件</x:v>
      </x:c>
      <x:c r="R80" s="128" t="str">
        <x:v>—</x:v>
      </x:c>
    </x:row>
    <x:row r="81" ht="30" customHeight="1">
      <x:c r="A81" s="134" t="str">
        <x:v>I098</x:v>
      </x:c>
      <x:c r="B81" s="134" t="str">
        <x:v>宝箱</x:v>
      </x:c>
      <x:c r="C81" s="134" t="str">
        <x:v>稀有</x:v>
      </x:c>
      <x:c r="D81" s="135" t="n">
        <x:v>2</x:v>
      </x:c>
      <x:c r="E81" s="134" t="str">
        <x:v>三选一</x:v>
      </x:c>
      <x:c r="F81" s="136" t="str">
        <x:v>是</x:v>
      </x:c>
      <x:c r="G81" s="136" t="str">
        <x:v>永久</x:v>
      </x:c>
      <x:c r="H81" s="134" t="str">
        <x:v>接触时</x:v>
      </x:c>
      <x:c r="I81" s="134" t="str">
        <x:v>接触钥匙时，消耗该钥匙及自身，生成1枚宝藏徽记和1颗晶屑。</x:v>
      </x:c>
      <x:c r="J81" s="134" t="str">
        <x:v>同一物品每回合限触发1次</x:v>
      </x:c>
      <x:c r="K81" s="134" t="str">
        <x:v>探险</x:v>
      </x:c>
      <x:c r="L81" s="134" t="str">
        <x:v>探险、生成者</x:v>
      </x:c>
      <x:c r="M81" s="134" t="str">
        <x:v>长方形</x:v>
      </x:c>
      <x:c r="N81" s="134" t="str">
        <x:v>长条形</x:v>
      </x:c>
      <x:c r="O81" s="134" t="str">
        <x:v>Treasure Chest（触发器!D61）</x:v>
      </x:c>
      <x:c r="P81" s="134" t="str">
        <x:v>首测候选</x:v>
      </x:c>
      <x:c r="Q81" s="134" t="str">
        <x:v>流派组件</x:v>
      </x:c>
      <x:c r="R81" s="134" t="str">
        <x:v>—</x:v>
      </x:c>
    </x:row>
    <x:row r="82" ht="38" customHeight="1">
      <x:c r="A82" s="128" t="str">
        <x:v>I099</x:v>
      </x:c>
      <x:c r="B82" s="128" t="str">
        <x:v>训练木偶</x:v>
      </x:c>
      <x:c r="C82" s="128" t="str">
        <x:v>普通</x:v>
      </x:c>
      <x:c r="D82" s="129" t="n">
        <x:v>3</x:v>
      </x:c>
      <x:c r="E82" s="128" t="str">
        <x:v>三选一</x:v>
      </x:c>
      <x:c r="F82" s="130" t="str">
        <x:v>是</x:v>
      </x:c>
      <x:c r="G82" s="130" t="str">
        <x:v>永久</x:v>
      </x:c>
      <x:c r="H82" s="128" t="str">
        <x:v>受到伤害时</x:v>
      </x:c>
      <x:c r="I82" s="128" t="str">
        <x:v>每实际受到1点伤害，自身本回合分值+3；本回合累计受到3点伤害时，自身本回合分值再+3，并停止受伤。</x:v>
      </x:c>
      <x:c r="J82" s="128" t="str">
        <x:v>每回合最多3伤害；下回合恢复</x:v>
      </x:c>
      <x:c r="K82" s="128" t="str">
        <x:v>探险</x:v>
      </x:c>
      <x:c r="L82" s="128" t="str">
        <x:v>探险、可攻击</x:v>
      </x:c>
      <x:c r="M82" s="128" t="str">
        <x:v>人形</x:v>
      </x:c>
      <x:c r="N82" s="128" t="str">
        <x:v>不规则形</x:v>
      </x:c>
      <x:c r="O82" s="128" t="str">
        <x:v>Practice Dummy（触发器!D54）</x:v>
      </x:c>
      <x:c r="P82" s="128" t="str">
        <x:v>首测候选</x:v>
      </x:c>
      <x:c r="Q82" s="128" t="str">
        <x:v>流派组件</x:v>
      </x:c>
      <x:c r="R82" s="128" t="str">
        <x:v>—</x:v>
      </x:c>
    </x:row>
    <x:row r="83" ht="30" customHeight="1">
      <x:c r="A83" s="134" t="str">
        <x:v>I100</x:v>
      </x:c>
      <x:c r="B83" s="134" t="str">
        <x:v>守门巨像</x:v>
      </x:c>
      <x:c r="C83" s="134" t="str">
        <x:v>史诗</x:v>
      </x:c>
      <x:c r="D83" s="135" t="n">
        <x:v>4</x:v>
      </x:c>
      <x:c r="E83" s="134" t="str">
        <x:v>三选一</x:v>
      </x:c>
      <x:c r="F83" s="136" t="str">
        <x:v>是</x:v>
      </x:c>
      <x:c r="G83" s="136" t="str">
        <x:v>永久</x:v>
      </x:c>
      <x:c r="H83" s="134" t="str">
        <x:v>受到伤害时</x:v>
      </x:c>
      <x:c r="I83" s="134" t="str">
        <x:v>本回合累计受到3伤害时，消耗自身，生成1座奖杯和1枚零钱。</x:v>
      </x:c>
      <x:c r="J83" s="134" t="str">
        <x:v>同一物品每回合限触发1次；伤害不跨回合</x:v>
      </x:c>
      <x:c r="K83" s="134" t="str">
        <x:v>探险</x:v>
      </x:c>
      <x:c r="L83" s="134" t="str">
        <x:v>探险、可攻击、生成者</x:v>
      </x:c>
      <x:c r="M83" s="134" t="str">
        <x:v>宽梯形</x:v>
      </x:c>
      <x:c r="N83" s="134" t="str">
        <x:v>不规则形</x:v>
      </x:c>
      <x:c r="O83" s="134" t="str">
        <x:v>Cave Troll（触发器!D37）；Wyvern（触发器!D66）</x:v>
      </x:c>
      <x:c r="P83" s="134" t="str">
        <x:v>扩展</x:v>
      </x:c>
      <x:c r="Q83" s="134" t="str">
        <x:v>流派组件</x:v>
      </x:c>
      <x:c r="R83" s="134" t="str">
        <x:v>—</x:v>
      </x:c>
    </x:row>
    <x:row r="84" ht="38" customHeight="1">
      <x:c r="A84" s="128" t="str">
        <x:v>I102</x:v>
      </x:c>
      <x:c r="B84" s="128" t="str">
        <x:v>接力棒</x:v>
      </x:c>
      <x:c r="C84" s="128" t="str">
        <x:v>普通</x:v>
      </x:c>
      <x:c r="D84" s="129" t="n">
        <x:v>1</x:v>
      </x:c>
      <x:c r="E84" s="128" t="str">
        <x:v>三选一</x:v>
      </x:c>
      <x:c r="F84" s="130" t="str">
        <x:v>是</x:v>
      </x:c>
      <x:c r="G84" s="130" t="str">
        <x:v>永久</x:v>
      </x:c>
      <x:c r="H84" s="128" t="str">
        <x:v>接触时</x:v>
      </x:c>
      <x:c r="I84" s="128" t="str">
        <x:v>接触非连锁物品时，使该物品本回合分值+2；若该物品此前已被其他物品增值过，则该次改为+4。</x:v>
      </x:c>
      <x:c r="J84" s="128" t="str">
        <x:v>每个目标每回合限触发1次；最多3件</x:v>
      </x:c>
      <x:c r="K84" s="128" t="str">
        <x:v>连锁</x:v>
      </x:c>
      <x:c r="L84" s="128" t="str">
        <x:v>连锁</x:v>
      </x:c>
      <x:c r="M84" s="128" t="str">
        <x:v>长棒形</x:v>
      </x:c>
      <x:c r="N84" s="128" t="str">
        <x:v>长条形</x:v>
      </x:c>
      <x:c r="O84" s="128" t="str">
        <x:v>Cave（触发器!D13）</x:v>
      </x:c>
      <x:c r="P84" s="128" t="str">
        <x:v>首测候选</x:v>
      </x:c>
      <x:c r="Q84" s="128" t="str">
        <x:v>共通物品</x:v>
      </x:c>
      <x:c r="R84" s="128" t="str">
        <x:v>连锁→其他流派：接力已被其他物品增值的目标；也可作用于中立物品。</x:v>
      </x:c>
    </x:row>
    <x:row r="85" ht="38" customHeight="1">
      <x:c r="A85" s="134" t="str">
        <x:v>I104</x:v>
      </x:c>
      <x:c r="B85" s="134" t="str">
        <x:v>印章</x:v>
      </x:c>
      <x:c r="C85" s="134" t="str">
        <x:v>普通</x:v>
      </x:c>
      <x:c r="D85" s="135" t="n">
        <x:v>1</x:v>
      </x:c>
      <x:c r="E85" s="134" t="str">
        <x:v>三选一</x:v>
      </x:c>
      <x:c r="F85" s="136" t="str">
        <x:v>是</x:v>
      </x:c>
      <x:c r="G85" s="136" t="str">
        <x:v>永久</x:v>
      </x:c>
      <x:c r="H85" s="134" t="str">
        <x:v>接触时</x:v>
      </x:c>
      <x:c r="I85" s="134" t="str">
        <x:v>接触信封或纪念票时，使该目标永久基础分+1。</x:v>
      </x:c>
      <x:c r="J85" s="134" t="str">
        <x:v>每回合最多1个目标；同一目标每回合只受1个印章影响</x:v>
      </x:c>
      <x:c r="K85" s="134" t="str">
        <x:v>连锁</x:v>
      </x:c>
      <x:c r="L85" s="134" t="str">
        <x:v>连锁、工具</x:v>
      </x:c>
      <x:c r="M85" s="134" t="str">
        <x:v>方柄形</x:v>
      </x:c>
      <x:c r="N85" s="134" t="str">
        <x:v>不规则形</x:v>
      </x:c>
      <x:c r="O85" s="134" t="str">
        <x:v>原创</x:v>
      </x:c>
      <x:c r="P85" s="134" t="str">
        <x:v>首测候选</x:v>
      </x:c>
      <x:c r="Q85" s="134" t="str">
        <x:v>流派组件</x:v>
      </x:c>
      <x:c r="R85" s="134" t="str">
        <x:v>—</x:v>
      </x:c>
    </x:row>
    <x:row r="86" ht="30" customHeight="1">
      <x:c r="A86" s="128" t="str">
        <x:v>I105</x:v>
      </x:c>
      <x:c r="B86" s="128" t="str">
        <x:v>邮筒</x:v>
      </x:c>
      <x:c r="C86" s="128" t="str">
        <x:v>优秀</x:v>
      </x:c>
      <x:c r="D86" s="129" t="n">
        <x:v>2</x:v>
      </x:c>
      <x:c r="E86" s="128" t="str">
        <x:v>三选一</x:v>
      </x:c>
      <x:c r="F86" s="130" t="str">
        <x:v>是</x:v>
      </x:c>
      <x:c r="G86" s="130" t="str">
        <x:v>永久</x:v>
      </x:c>
      <x:c r="H86" s="128" t="str">
        <x:v>接触时</x:v>
      </x:c>
      <x:c r="I86" s="128" t="str">
        <x:v>接触信封或纪念票时，消耗该物品，直接计分等于其被消耗前的当前分值+6。</x:v>
      </x:c>
      <x:c r="J86" s="128" t="str">
        <x:v>每回合最多2件</x:v>
      </x:c>
      <x:c r="K86" s="128" t="str">
        <x:v>连锁</x:v>
      </x:c>
      <x:c r="L86" s="128" t="str">
        <x:v>连锁、消耗者</x:v>
      </x:c>
      <x:c r="M86" s="128" t="str">
        <x:v>圆柱形</x:v>
      </x:c>
      <x:c r="N86" s="128" t="str">
        <x:v>圆形</x:v>
      </x:c>
      <x:c r="O86" s="128" t="str">
        <x:v>Ballmart（触发器!D3）</x:v>
      </x:c>
      <x:c r="P86" s="128" t="str">
        <x:v>扩展</x:v>
      </x:c>
      <x:c r="Q86" s="128" t="str">
        <x:v>流派组件</x:v>
      </x:c>
      <x:c r="R86" s="128" t="str">
        <x:v>—</x:v>
      </x:c>
    </x:row>
    <x:row r="87" ht="30" customHeight="1">
      <x:c r="A87" s="134" t="str">
        <x:v>I106</x:v>
      </x:c>
      <x:c r="B87" s="134" t="str">
        <x:v>信封</x:v>
      </x:c>
      <x:c r="C87" s="134" t="str">
        <x:v>普通</x:v>
      </x:c>
      <x:c r="D87" s="135" t="n">
        <x:v>1</x:v>
      </x:c>
      <x:c r="E87" s="134" t="str">
        <x:v>三选一</x:v>
      </x:c>
      <x:c r="F87" s="136" t="str">
        <x:v>是</x:v>
      </x:c>
      <x:c r="G87" s="136" t="str">
        <x:v>永久</x:v>
      </x:c>
      <x:c r="H87" s="134" t="str">
        <x:v>结算时</x:v>
      </x:c>
      <x:c r="I87" s="134" t="str">
        <x:v>结算时，本回合接触过印章时，自身本回合分值+4。</x:v>
      </x:c>
      <x:c r="J87" s="134" t="str">
        <x:v>每回合限触发1次</x:v>
      </x:c>
      <x:c r="K87" s="134" t="str">
        <x:v>连锁</x:v>
      </x:c>
      <x:c r="L87" s="134" t="str">
        <x:v>连锁、消耗材料</x:v>
      </x:c>
      <x:c r="M87" s="134" t="str">
        <x:v>菱形</x:v>
      </x:c>
      <x:c r="N87" s="134" t="str">
        <x:v>不规则形</x:v>
      </x:c>
      <x:c r="O87" s="134" t="str">
        <x:v>原创</x:v>
      </x:c>
      <x:c r="P87" s="134" t="str">
        <x:v>首测候选</x:v>
      </x:c>
      <x:c r="Q87" s="134" t="str">
        <x:v>流派组件</x:v>
      </x:c>
      <x:c r="R87" s="134" t="str">
        <x:v>—</x:v>
      </x:c>
    </x:row>
    <x:row r="88" ht="30" customHeight="1">
      <x:c r="A88" s="128" t="str">
        <x:v>I107</x:v>
      </x:c>
      <x:c r="B88" s="128" t="str">
        <x:v>拼图块</x:v>
      </x:c>
      <x:c r="C88" s="128" t="str">
        <x:v>优秀</x:v>
      </x:c>
      <x:c r="D88" s="129" t="n">
        <x:v>2</x:v>
      </x:c>
      <x:c r="E88" s="128" t="str">
        <x:v>三选一</x:v>
      </x:c>
      <x:c r="F88" s="130" t="str">
        <x:v>是</x:v>
      </x:c>
      <x:c r="G88" s="130" t="str">
        <x:v>永久</x:v>
      </x:c>
      <x:c r="H88" s="128" t="str">
        <x:v>结算时</x:v>
      </x:c>
      <x:c r="I88" s="128" t="str">
        <x:v>结算时，自身所在拼图接触组每有1件其他拼图，自身本回合分值+3。</x:v>
      </x:c>
      <x:c r="J88" s="128" t="str">
        <x:v>最多计3件</x:v>
      </x:c>
      <x:c r="K88" s="128" t="str">
        <x:v>连锁</x:v>
      </x:c>
      <x:c r="L88" s="128" t="str">
        <x:v>连锁、成簇</x:v>
      </x:c>
      <x:c r="M88" s="128" t="str">
        <x:v>凹凸方形</x:v>
      </x:c>
      <x:c r="N88" s="128" t="str">
        <x:v>不规则形</x:v>
      </x:c>
      <x:c r="O88" s="128" t="str">
        <x:v>Clover（触发器!D40）；Cairn（触发器!D34）</x:v>
      </x:c>
      <x:c r="P88" s="128" t="str">
        <x:v>首测候选</x:v>
      </x:c>
      <x:c r="Q88" s="128" t="str">
        <x:v>流派组件</x:v>
      </x:c>
      <x:c r="R88" s="128" t="str">
        <x:v>—</x:v>
      </x:c>
    </x:row>
    <x:row r="89" ht="38" customHeight="1">
      <x:c r="A89" s="134" t="str">
        <x:v>I109</x:v>
      </x:c>
      <x:c r="B89" s="134" t="str">
        <x:v>星图</x:v>
      </x:c>
      <x:c r="C89" s="134" t="str">
        <x:v>稀有</x:v>
      </x:c>
      <x:c r="D89" s="135" t="n">
        <x:v>2</x:v>
      </x:c>
      <x:c r="E89" s="134" t="str">
        <x:v>三选一</x:v>
      </x:c>
      <x:c r="F89" s="136" t="str">
        <x:v>是</x:v>
      </x:c>
      <x:c r="G89" s="136" t="str">
        <x:v>永久</x:v>
      </x:c>
      <x:c r="H89" s="134" t="str">
        <x:v>结算时</x:v>
      </x:c>
      <x:c r="I89" s="134" t="str">
        <x:v>结算时，与自身接触的物品中，本回合曾被至少2种不同物品增值过的目标，结算倍率+50%。</x:v>
      </x:c>
      <x:c r="J89" s="134" t="str">
        <x:v>最多影响3件</x:v>
      </x:c>
      <x:c r="K89" s="134" t="str">
        <x:v>连锁</x:v>
      </x:c>
      <x:c r="L89" s="134" t="str">
        <x:v>连锁、结算核心</x:v>
      </x:c>
      <x:c r="M89" s="134" t="str">
        <x:v>星形</x:v>
      </x:c>
      <x:c r="N89" s="134" t="str">
        <x:v>不规则形</x:v>
      </x:c>
      <x:c r="O89" s="134" t="str">
        <x:v>Cave（触发器!D13）</x:v>
      </x:c>
      <x:c r="P89" s="134" t="str">
        <x:v>首测候选</x:v>
      </x:c>
      <x:c r="Q89" s="134" t="str">
        <x:v>共通物品</x:v>
      </x:c>
      <x:c r="R89" s="134" t="str">
        <x:v>连锁→多来源增值：让冻结时仍接触、且已被两种其他物品增值的目标获得倍率。</x:v>
      </x:c>
    </x:row>
    <x:row r="90" ht="30" customHeight="1">
      <x:c r="A90" s="128" t="str">
        <x:v>I111</x:v>
      </x:c>
      <x:c r="B90" s="128" t="str">
        <x:v>秒表</x:v>
      </x:c>
      <x:c r="C90" s="128" t="str">
        <x:v>普通</x:v>
      </x:c>
      <x:c r="D90" s="129" t="n">
        <x:v>1</x:v>
      </x:c>
      <x:c r="E90" s="128" t="str">
        <x:v>三选一</x:v>
      </x:c>
      <x:c r="F90" s="130" t="str">
        <x:v>是</x:v>
      </x:c>
      <x:c r="G90" s="130" t="str">
        <x:v>永久</x:v>
      </x:c>
      <x:c r="H90" s="128" t="str">
        <x:v>接触时</x:v>
      </x:c>
      <x:c r="I90" s="128" t="str">
        <x:v>首次接触其他物品时，自身本回合分值增加本回合已经过去的整秒数。</x:v>
      </x:c>
      <x:c r="J90" s="128" t="str">
        <x:v>每回合限触发1次；最多+9</x:v>
      </x:c>
      <x:c r="K90" s="141" t="str">
        <x:v>中立</x:v>
      </x:c>
      <x:c r="L90" s="128" t="str">
        <x:v>计时</x:v>
      </x:c>
      <x:c r="M90" s="128" t="str">
        <x:v>圆形</x:v>
      </x:c>
      <x:c r="N90" s="128" t="str">
        <x:v>圆形</x:v>
      </x:c>
      <x:c r="O90" s="128" t="str">
        <x:v>Stopwatch（触发器!D25）</x:v>
      </x:c>
      <x:c r="P90" s="128" t="str">
        <x:v>扩展</x:v>
      </x:c>
      <x:c r="Q90" s="128" t="str">
        <x:v>中立操作</x:v>
      </x:c>
      <x:c r="R90" s="128" t="str">
        <x:v>任意构筑：延后首次接触可提高得分；刚入瓶就接触时收益低，不列为稳定过渡。</x:v>
      </x:c>
    </x:row>
    <x:row r="91" ht="38" customHeight="1">
      <x:c r="A91" s="134" t="str">
        <x:v>I113</x:v>
      </x:c>
      <x:c r="B91" s="134" t="str">
        <x:v>年轮树</x:v>
      </x:c>
      <x:c r="C91" s="134" t="str">
        <x:v>普通</x:v>
      </x:c>
      <x:c r="D91" s="135" t="n">
        <x:v>1</x:v>
      </x:c>
      <x:c r="E91" s="134" t="str">
        <x:v>三选一</x:v>
      </x:c>
      <x:c r="F91" s="136" t="str">
        <x:v>是</x:v>
      </x:c>
      <x:c r="G91" s="136" t="str">
        <x:v>永久</x:v>
      </x:c>
      <x:c r="H91" s="134" t="str">
        <x:v>结算结束时</x:v>
      </x:c>
      <x:c r="I91" s="134" t="str">
        <x:v>结算结束时，本回合从牌库抽中且存活时，自身永久基础分+1。</x:v>
      </x:c>
      <x:c r="J91" s="134" t="str">
        <x:v>永久累计+8封顶</x:v>
      </x:c>
      <x:c r="K91" s="134" t="str">
        <x:v>结算</x:v>
      </x:c>
      <x:c r="L91" s="134" t="str">
        <x:v>植物、成长</x:v>
      </x:c>
      <x:c r="M91" s="134" t="str">
        <x:v>圆柱形</x:v>
      </x:c>
      <x:c r="N91" s="134" t="str">
        <x:v>圆形</x:v>
      </x:c>
      <x:c r="O91" s="134" t="str">
        <x:v>Tree（触发器!D28）</x:v>
      </x:c>
      <x:c r="P91" s="134" t="str">
        <x:v>首测候选</x:v>
      </x:c>
      <x:c r="Q91" s="134" t="str">
        <x:v>共通物品</x:v>
      </x:c>
      <x:c r="R91" s="134" t="str">
        <x:v>结算→种植：年轮树有植物、成长标签，可接受花盆、温室罩和黄水晶；没有开花标签。</x:v>
      </x:c>
    </x:row>
    <x:row r="92" ht="30" customHeight="1">
      <x:c r="A92" s="128" t="str">
        <x:v>I114</x:v>
      </x:c>
      <x:c r="B92" s="128" t="str">
        <x:v>年轮盘</x:v>
      </x:c>
      <x:c r="C92" s="128" t="str">
        <x:v>优秀</x:v>
      </x:c>
      <x:c r="D92" s="129" t="n">
        <x:v>2</x:v>
      </x:c>
      <x:c r="E92" s="128" t="str">
        <x:v>三选一</x:v>
      </x:c>
      <x:c r="F92" s="130" t="str">
        <x:v>是</x:v>
      </x:c>
      <x:c r="G92" s="130" t="str">
        <x:v>永久</x:v>
      </x:c>
      <x:c r="H92" s="128" t="str">
        <x:v>结算时</x:v>
      </x:c>
      <x:c r="I92" s="128" t="str">
        <x:v>结算时，每接触1件永久基础分至少6的成长物品，自身本回合分值+4。</x:v>
      </x:c>
      <x:c r="J92" s="128" t="str">
        <x:v>最多计3件</x:v>
      </x:c>
      <x:c r="K92" s="128" t="str">
        <x:v>结算</x:v>
      </x:c>
      <x:c r="L92" s="128" t="str">
        <x:v>结算、成长辅助</x:v>
      </x:c>
      <x:c r="M92" s="128" t="str">
        <x:v>圆形</x:v>
      </x:c>
      <x:c r="N92" s="128" t="str">
        <x:v>圆形</x:v>
      </x:c>
      <x:c r="O92" s="128" t="str">
        <x:v>Empyrean Egg（触发器!D110）</x:v>
      </x:c>
      <x:c r="P92" s="128" t="str">
        <x:v>扩展</x:v>
      </x:c>
      <x:c r="Q92" s="128" t="str">
        <x:v>流派组件</x:v>
      </x:c>
      <x:c r="R92" s="128" t="str">
        <x:v>—</x:v>
      </x:c>
    </x:row>
    <x:row r="93" ht="38" customHeight="1">
      <x:c r="A93" s="134" t="str">
        <x:v>I115</x:v>
      </x:c>
      <x:c r="B93" s="134" t="str">
        <x:v>时光胶囊</x:v>
      </x:c>
      <x:c r="C93" s="134" t="str">
        <x:v>稀有</x:v>
      </x:c>
      <x:c r="D93" s="135" t="n">
        <x:v>1</x:v>
      </x:c>
      <x:c r="E93" s="134" t="str">
        <x:v>三选一</x:v>
      </x:c>
      <x:c r="F93" s="136" t="str">
        <x:v>是</x:v>
      </x:c>
      <x:c r="G93" s="136" t="str">
        <x:v>永久</x:v>
      </x:c>
      <x:c r="H93" s="134" t="str">
        <x:v>结算结束时</x:v>
      </x:c>
      <x:c r="I93" s="134" t="str">
        <x:v>结算结束时，若自身存活，出场次数+1；累计达到3次时，永久变形为古物奖章。</x:v>
      </x:c>
      <x:c r="J93" s="134" t="str">
        <x:v>变形1次；变形不触发消耗或生成</x:v>
      </x:c>
      <x:c r="K93" s="134" t="str">
        <x:v>结算</x:v>
      </x:c>
      <x:c r="L93" s="134" t="str">
        <x:v>结算、成长</x:v>
      </x:c>
      <x:c r="M93" s="134" t="str">
        <x:v>胶囊形</x:v>
      </x:c>
      <x:c r="N93" s="134" t="str">
        <x:v>长条形</x:v>
      </x:c>
      <x:c r="O93" s="134" t="str">
        <x:v>Time Capsule（触发器!D98）</x:v>
      </x:c>
      <x:c r="P93" s="134" t="str">
        <x:v>扩展</x:v>
      </x:c>
      <x:c r="Q93" s="134" t="str">
        <x:v>流派组件</x:v>
      </x:c>
      <x:c r="R93" s="134" t="str">
        <x:v>—</x:v>
      </x:c>
    </x:row>
    <x:row r="94" ht="38" customHeight="1">
      <x:c r="A94" s="128" t="str">
        <x:v>I116</x:v>
      </x:c>
      <x:c r="B94" s="128" t="str">
        <x:v>放大镜</x:v>
      </x:c>
      <x:c r="C94" s="128" t="str">
        <x:v>稀有</x:v>
      </x:c>
      <x:c r="D94" s="129" t="n">
        <x:v>2</x:v>
      </x:c>
      <x:c r="E94" s="128" t="str">
        <x:v>三选一</x:v>
      </x:c>
      <x:c r="F94" s="130" t="str">
        <x:v>是</x:v>
      </x:c>
      <x:c r="G94" s="130" t="str">
        <x:v>永久</x:v>
      </x:c>
      <x:c r="H94" s="128" t="str">
        <x:v>结算时</x:v>
      </x:c>
      <x:c r="I94" s="128" t="str">
        <x:v>结算时，与自身接触的物品中，冻结分值最高者结算倍率+100%，但该冻结分值需至少为8。</x:v>
      </x:c>
      <x:c r="J94" s="128" t="str">
        <x:v>每回合最多1个目标；不包含自身</x:v>
      </x:c>
      <x:c r="K94" s="128" t="str">
        <x:v>结算</x:v>
      </x:c>
      <x:c r="L94" s="128" t="str">
        <x:v>结算、工具</x:v>
      </x:c>
      <x:c r="M94" s="128" t="str">
        <x:v>圆柄形</x:v>
      </x:c>
      <x:c r="N94" s="128" t="str">
        <x:v>不规则形</x:v>
      </x:c>
      <x:c r="O94" s="128" t="str">
        <x:v>Compass（触发器!D73）</x:v>
      </x:c>
      <x:c r="P94" s="128" t="str">
        <x:v>首测候选</x:v>
      </x:c>
      <x:c r="Q94" s="128" t="str">
        <x:v>共通物品</x:v>
      </x:c>
      <x:c r="R94" s="128" t="str">
        <x:v>结算→高分构筑：放大接触的最高冻结分值目标；不会因计数盘结算加分后升高而重新选择。</x:v>
      </x:c>
    </x:row>
    <x:row r="95" ht="30" customHeight="1">
      <x:c r="A95" s="134" t="str">
        <x:v>I117</x:v>
      </x:c>
      <x:c r="B95" s="134" t="str">
        <x:v>指挥旗</x:v>
      </x:c>
      <x:c r="C95" s="134" t="str">
        <x:v>优秀</x:v>
      </x:c>
      <x:c r="D95" s="135" t="n">
        <x:v>2</x:v>
      </x:c>
      <x:c r="E95" s="134" t="str">
        <x:v>三选一</x:v>
      </x:c>
      <x:c r="F95" s="136" t="str">
        <x:v>是</x:v>
      </x:c>
      <x:c r="G95" s="136" t="str">
        <x:v>永久</x:v>
      </x:c>
      <x:c r="H95" s="134" t="str">
        <x:v>结算时</x:v>
      </x:c>
      <x:c r="I95" s="134" t="str">
        <x:v>结算时，与自身接触的物品中，冻结分值最低的2件各本回合分值+4。</x:v>
      </x:c>
      <x:c r="J95" s="134" t="str">
        <x:v>最多2件</x:v>
      </x:c>
      <x:c r="K95" s="141" t="str">
        <x:v>中立</x:v>
      </x:c>
      <x:c r="L95" s="134" t="str">
        <x:v>辅助</x:v>
      </x:c>
      <x:c r="M95" s="134" t="str">
        <x:v>三角形</x:v>
      </x:c>
      <x:c r="N95" s="134" t="str">
        <x:v>三角形</x:v>
      </x:c>
      <x:c r="O95" s="134" t="str">
        <x:v>原创</x:v>
      </x:c>
      <x:c r="P95" s="134" t="str">
        <x:v>首测候选</x:v>
      </x:c>
      <x:c r="Q95" s="134" t="str">
        <x:v>中立辅助</x:v>
      </x:c>
      <x:c r="R95" s="134" t="str">
        <x:v>任意构筑：照顾接触的低分物品；可增强产物或过渡物品，不需要专用材料。</x:v>
      </x:c>
    </x:row>
    <x:row r="96" ht="38" customHeight="1">
      <x:c r="A96" s="128" t="str">
        <x:v>I118</x:v>
      </x:c>
      <x:c r="B96" s="128" t="str">
        <x:v>平衡秤</x:v>
      </x:c>
      <x:c r="C96" s="128" t="str">
        <x:v>稀有</x:v>
      </x:c>
      <x:c r="D96" s="129" t="n">
        <x:v>2</x:v>
      </x:c>
      <x:c r="E96" s="128" t="str">
        <x:v>三选一</x:v>
      </x:c>
      <x:c r="F96" s="130" t="str">
        <x:v>是</x:v>
      </x:c>
      <x:c r="G96" s="130" t="str">
        <x:v>永久</x:v>
      </x:c>
      <x:c r="H96" s="128" t="str">
        <x:v>结算时</x:v>
      </x:c>
      <x:c r="I96" s="128" t="str">
        <x:v>结算时，比较与自身接触的物品中最高和最低冻结分值，使最低者本回合分值增加差值的一半，向下取整。</x:v>
      </x:c>
      <x:c r="J96" s="128" t="str">
        <x:v>需2个不同目标；不扣高分者</x:v>
      </x:c>
      <x:c r="K96" s="128" t="str">
        <x:v>结算</x:v>
      </x:c>
      <x:c r="L96" s="128" t="str">
        <x:v>结算、工具</x:v>
      </x:c>
      <x:c r="M96" s="128" t="str">
        <x:v>丁字形</x:v>
      </x:c>
      <x:c r="N96" s="128" t="str">
        <x:v>不规则形</x:v>
      </x:c>
      <x:c r="O96" s="128" t="str">
        <x:v>Blender（增益!D35）</x:v>
      </x:c>
      <x:c r="P96" s="128" t="str">
        <x:v>首测候选</x:v>
      </x:c>
      <x:c r="Q96" s="128" t="str">
        <x:v>共通物品</x:v>
      </x:c>
      <x:c r="R96" s="128" t="str">
        <x:v>结算→分值差异较大的构筑：按冻结分值差给低分目标加分，适合高低分混搭。</x:v>
      </x:c>
    </x:row>
    <x:row r="97" ht="38" customHeight="1">
      <x:c r="A97" s="134" t="str">
        <x:v>I119</x:v>
      </x:c>
      <x:c r="B97" s="134" t="str">
        <x:v>吊床</x:v>
      </x:c>
      <x:c r="C97" s="134" t="str">
        <x:v>普通</x:v>
      </x:c>
      <x:c r="D97" s="135" t="n">
        <x:v>3</x:v>
      </x:c>
      <x:c r="E97" s="134" t="str">
        <x:v>三选一</x:v>
      </x:c>
      <x:c r="F97" s="136" t="str">
        <x:v>是</x:v>
      </x:c>
      <x:c r="G97" s="136" t="str">
        <x:v>永久</x:v>
      </x:c>
      <x:c r="H97" s="134" t="str">
        <x:v>结算时</x:v>
      </x:c>
      <x:c r="I97" s="134" t="str">
        <x:v>结算时，若自身与至少2株植物接触，自身本回合分值+6。</x:v>
      </x:c>
      <x:c r="J97" s="134" t="str">
        <x:v>每回合限触发1次；两株可同名，但须为不同实例</x:v>
      </x:c>
      <x:c r="K97" s="134" t="str">
        <x:v>结算</x:v>
      </x:c>
      <x:c r="L97" s="134" t="str">
        <x:v>结算、植物辅助</x:v>
      </x:c>
      <x:c r="M97" s="134" t="str">
        <x:v>月牙形</x:v>
      </x:c>
      <x:c r="N97" s="134" t="str">
        <x:v>弧形</x:v>
      </x:c>
      <x:c r="O97" s="134" t="str">
        <x:v>Hammock（触发器!D15）</x:v>
      </x:c>
      <x:c r="P97" s="134" t="str">
        <x:v>扩展</x:v>
      </x:c>
      <x:c r="Q97" s="134" t="str">
        <x:v>共通物品</x:v>
      </x:c>
      <x:c r="R97" s="134" t="str">
        <x:v>结算→种植：吊床需要冻结时接触至少2株植物；不是无条件中立过渡。</x:v>
      </x:c>
    </x:row>
    <x:row r="98" ht="38" customHeight="1">
      <x:c r="A98" s="128" t="str">
        <x:v>I120</x:v>
      </x:c>
      <x:c r="B98" s="128" t="str">
        <x:v>桂冠</x:v>
      </x:c>
      <x:c r="C98" s="128" t="str">
        <x:v>史诗</x:v>
      </x:c>
      <x:c r="D98" s="129" t="n">
        <x:v>3</x:v>
      </x:c>
      <x:c r="E98" s="128" t="str">
        <x:v>三选一</x:v>
      </x:c>
      <x:c r="F98" s="130" t="str">
        <x:v>是</x:v>
      </x:c>
      <x:c r="G98" s="130" t="str">
        <x:v>永久</x:v>
      </x:c>
      <x:c r="H98" s="128" t="str">
        <x:v>结算时</x:v>
      </x:c>
      <x:c r="I98" s="128" t="str">
        <x:v>结算时，瓶中冻结分值唯一最高的物品结算倍率+100%；若其永久基础分至少为10，则该物品结算倍率再+50%。</x:v>
      </x:c>
      <x:c r="J98" s="128" t="str">
        <x:v>并列最高则不生效</x:v>
      </x:c>
      <x:c r="K98" s="128" t="str">
        <x:v>结算</x:v>
      </x:c>
      <x:c r="L98" s="128" t="str">
        <x:v>结算、核心</x:v>
      </x:c>
      <x:c r="M98" s="128" t="str">
        <x:v>环形</x:v>
      </x:c>
      <x:c r="N98" s="128" t="str">
        <x:v>凹槽形</x:v>
      </x:c>
      <x:c r="O98" s="128" t="str">
        <x:v>Compass（触发器!D73）；Rainbow（触发器!D90）</x:v>
      </x:c>
      <x:c r="P98" s="128" t="str">
        <x:v>扩展</x:v>
      </x:c>
      <x:c r="Q98" s="128" t="str">
        <x:v>流派组件</x:v>
      </x:c>
      <x:c r="R98" s="128" t="str">
        <x:v>—</x:v>
      </x:c>
    </x:row>
    <x:row r="99" ht="38" customHeight="1">
      <x:c r="A99" s="134" t="str">
        <x:v>I121</x:v>
      </x:c>
      <x:c r="B99" s="134" t="str">
        <x:v>剪毛剪</x:v>
      </x:c>
      <x:c r="C99" s="134" t="str">
        <x:v>普通</x:v>
      </x:c>
      <x:c r="D99" s="135" t="n">
        <x:v>1</x:v>
      </x:c>
      <x:c r="E99" s="134" t="str">
        <x:v>三选一</x:v>
      </x:c>
      <x:c r="F99" s="136" t="str">
        <x:v>是</x:v>
      </x:c>
      <x:c r="G99" s="136" t="str">
        <x:v>永久</x:v>
      </x:c>
      <x:c r="H99" s="134" t="str">
        <x:v>接触时</x:v>
      </x:c>
      <x:c r="I99" s="134" t="str">
        <x:v>接触绵羊时，使该绵羊本回合分值+2。</x:v>
      </x:c>
      <x:c r="J99" s="134" t="str">
        <x:v>每个目标每回合限触发1次；每回合最多3只绵羊</x:v>
      </x:c>
      <x:c r="K99" s="134" t="str">
        <x:v>牧场</x:v>
      </x:c>
      <x:c r="L99" s="134" t="str">
        <x:v>牧场、工具</x:v>
      </x:c>
      <x:c r="M99" s="134" t="str">
        <x:v>交叉长条形</x:v>
      </x:c>
      <x:c r="N99" s="134" t="str">
        <x:v>不规则形</x:v>
      </x:c>
      <x:c r="O99" s="134" t="str">
        <x:v>原创</x:v>
      </x:c>
      <x:c r="P99" s="134" t="str">
        <x:v>首测候选</x:v>
      </x:c>
      <x:c r="Q99" s="134" t="str">
        <x:v>流派组件</x:v>
      </x:c>
      <x:c r="R99" s="134" t="str">
        <x:v>—</x:v>
      </x:c>
    </x:row>
    <x:row r="100" ht="38" customHeight="1">
      <x:c r="A100" s="128" t="str">
        <x:v>I122</x:v>
      </x:c>
      <x:c r="B100" s="128" t="str">
        <x:v>水井</x:v>
      </x:c>
      <x:c r="C100" s="128" t="str">
        <x:v>优秀</x:v>
      </x:c>
      <x:c r="D100" s="129" t="n">
        <x:v>2</x:v>
      </x:c>
      <x:c r="E100" s="128" t="str">
        <x:v>三选一</x:v>
      </x:c>
      <x:c r="F100" s="130" t="str">
        <x:v>是</x:v>
      </x:c>
      <x:c r="G100" s="130" t="str">
        <x:v>永久</x:v>
      </x:c>
      <x:c r="H100" s="128" t="str">
        <x:v>回合开始入瓶时／获得充能时</x:v>
      </x:c>
      <x:c r="I100" s="128" t="str">
        <x:v>初始充能为1。入瓶或获得充能后，若有充能且未达到本回合产量上限，花费1充能，生成1颗水珠；有剩余充能时继续抽水，直到达到上限或充能耗尽。</x:v>
      </x:c>
      <x:c r="J100" s="128" t="str">
        <x:v>每回合最多生成2颗水珠；每颗花费1充能；复活不重置初始充能或产量次数</x:v>
      </x:c>
      <x:c r="K100" s="128" t="str">
        <x:v>机械</x:v>
      </x:c>
      <x:c r="L100" s="128" t="str">
        <x:v>机械、充能、生成者</x:v>
      </x:c>
      <x:c r="M100" s="128" t="str">
        <x:v>方形井台，带电动抽水装置</x:v>
      </x:c>
      <x:c r="N100" s="128" t="str">
        <x:v>方形</x:v>
      </x:c>
      <x:c r="O100" s="128" t="str">
        <x:v>原创</x:v>
      </x:c>
      <x:c r="P100" s="128" t="str">
        <x:v>首测候选</x:v>
      </x:c>
      <x:c r="Q100" s="128" t="str">
        <x:v>共通物品</x:v>
      </x:c>
      <x:c r="R100" s="128" t="str">
        <x:v>机械→种植／元素：初始供1水，补充充能后最多供2水；可独立起步，不强制带电源。</x:v>
      </x:c>
    </x:row>
    <x:row r="101" ht="30" customHeight="1">
      <x:c r="A101" s="134" t="str">
        <x:v>I123</x:v>
      </x:c>
      <x:c r="B101" s="134" t="str">
        <x:v>麦田</x:v>
      </x:c>
      <x:c r="C101" s="134" t="str">
        <x:v>普通</x:v>
      </x:c>
      <x:c r="D101" s="135" t="n">
        <x:v>2</x:v>
      </x:c>
      <x:c r="E101" s="134" t="str">
        <x:v>三选一</x:v>
      </x:c>
      <x:c r="F101" s="136" t="str">
        <x:v>是</x:v>
      </x:c>
      <x:c r="G101" s="136" t="str">
        <x:v>永久</x:v>
      </x:c>
      <x:c r="H101" s="134" t="str">
        <x:v>接触时</x:v>
      </x:c>
      <x:c r="I101" s="134" t="str">
        <x:v>接触水珠时，消耗该水珠，生成2束谷穗。</x:v>
      </x:c>
      <x:c r="J101" s="134" t="str">
        <x:v>每回合限触发1次；不消耗自身</x:v>
      </x:c>
      <x:c r="K101" s="134" t="str">
        <x:v>种植</x:v>
      </x:c>
      <x:c r="L101" s="134" t="str">
        <x:v>植物、生成者</x:v>
      </x:c>
      <x:c r="M101" s="134" t="str">
        <x:v>长条形麦田</x:v>
      </x:c>
      <x:c r="N101" s="134" t="str">
        <x:v>长条形</x:v>
      </x:c>
      <x:c r="O101" s="134" t="str">
        <x:v>原创</x:v>
      </x:c>
      <x:c r="P101" s="134" t="str">
        <x:v>首测候选</x:v>
      </x:c>
      <x:c r="Q101" s="134" t="str">
        <x:v>共通物品</x:v>
      </x:c>
      <x:c r="R101" s="134" t="str">
        <x:v>种植→牧场／烹饪：1颗水珠换2束谷穗；既是饲料来源，也是食材来源。</x:v>
      </x:c>
    </x:row>
    <x:row r="102" ht="38" customHeight="1">
      <x:c r="A102" s="128" t="str">
        <x:v>I124</x:v>
      </x:c>
      <x:c r="B102" s="128" t="str">
        <x:v>骰子</x:v>
      </x:c>
      <x:c r="C102" s="128" t="str">
        <x:v>普通</x:v>
      </x:c>
      <x:c r="D102" s="129" t="n">
        <x:v>0</x:v>
      </x:c>
      <x:c r="E102" s="128" t="str">
        <x:v>三选一</x:v>
      </x:c>
      <x:c r="F102" s="130" t="str">
        <x:v>是</x:v>
      </x:c>
      <x:c r="G102" s="130" t="str">
        <x:v>永久</x:v>
      </x:c>
      <x:c r="H102" s="128" t="str">
        <x:v>入瓶时</x:v>
      </x:c>
      <x:c r="I102" s="128" t="str">
        <x:v>入瓶时，随机掷出1～6点，自身本回合分值增加对应点数。</x:v>
      </x:c>
      <x:c r="J102" s="128" t="str">
        <x:v>每回合限触发1次；六种点数等概率；显示点数；复活不重掷；不受摇晃强度影响</x:v>
      </x:c>
      <x:c r="K102" s="141" t="str">
        <x:v>中立</x:v>
      </x:c>
      <x:c r="L102" s="128" t="str">
        <x:v>随机</x:v>
      </x:c>
      <x:c r="M102" s="128" t="str">
        <x:v>六面方形</x:v>
      </x:c>
      <x:c r="N102" s="128" t="str">
        <x:v>方形</x:v>
      </x:c>
      <x:c r="O102" s="128" t="str">
        <x:v>原创（V7中立物品）</x:v>
      </x:c>
      <x:c r="P102" s="128" t="str">
        <x:v>首测候选</x:v>
      </x:c>
      <x:c r="Q102" s="128" t="str">
        <x:v>中立过渡</x:v>
      </x:c>
      <x:c r="R102" s="128" t="str">
        <x:v>任意构筑：随机1～6分，期望3.5分；入瓶后显示结果，再决定是否给它增值。</x:v>
      </x:c>
    </x:row>
    <x:row r="103" ht="38" customHeight="1">
      <x:c r="A103" s="134" t="str">
        <x:v>I125</x:v>
      </x:c>
      <x:c r="B103" s="134" t="str">
        <x:v>玻璃珠</x:v>
      </x:c>
      <x:c r="C103" s="134" t="str">
        <x:v>普通</x:v>
      </x:c>
      <x:c r="D103" s="135" t="n">
        <x:v>3</x:v>
      </x:c>
      <x:c r="E103" s="134" t="str">
        <x:v>三选一</x:v>
      </x:c>
      <x:c r="F103" s="136" t="str">
        <x:v>是</x:v>
      </x:c>
      <x:c r="G103" s="136" t="str">
        <x:v>永久</x:v>
      </x:c>
      <x:c r="H103" s="134" t="str">
        <x:v>无主动触发</x:v>
      </x:c>
      <x:c r="I103" s="134" t="str">
        <x:v>无主动效果。</x:v>
      </x:c>
      <x:c r="J103" s="134" t="str">
        <x:v>按通用规则结算；没有宝石、商品或共鸣标签</x:v>
      </x:c>
      <x:c r="K103" s="141" t="str">
        <x:v>中立</x:v>
      </x:c>
      <x:c r="L103" s="134" t="str">
        <x:v>摆件</x:v>
      </x:c>
      <x:c r="M103" s="134" t="str">
        <x:v>圆形</x:v>
      </x:c>
      <x:c r="N103" s="134" t="str">
        <x:v>圆形</x:v>
      </x:c>
      <x:c r="O103" s="134" t="str">
        <x:v>原创（V7中立物品）</x:v>
      </x:c>
      <x:c r="P103" s="134" t="str">
        <x:v>首测候选</x:v>
      </x:c>
      <x:c r="Q103" s="134" t="str">
        <x:v>中立过渡</x:v>
      </x:c>
      <x:c r="R103" s="134" t="str">
        <x:v>任意构筑：稳定基础3分，没有专属连锁；可接受通用增值及圆形徽章。</x:v>
      </x:c>
    </x:row>
    <x:row r="104" ht="30" customHeight="1">
      <x:c r="A104" s="128" t="str">
        <x:v>P001</x:v>
      </x:c>
      <x:c r="B104" s="128" t="str">
        <x:v>热餐</x:v>
      </x:c>
      <x:c r="C104" s="128" t="str">
        <x:v>稀有</x:v>
      </x:c>
      <x:c r="D104" s="129" t="n">
        <x:v>8</x:v>
      </x:c>
      <x:c r="E104" s="128" t="str">
        <x:v>生成：平底锅；黄玉可追加生成</x:v>
      </x:c>
      <x:c r="F104" s="130" t="str">
        <x:v>否</x:v>
      </x:c>
      <x:c r="G104" s="130" t="str">
        <x:v>永久</x:v>
      </x:c>
      <x:c r="H104" s="128" t="str">
        <x:v>—</x:v>
      </x:c>
      <x:c r="I104" s="128" t="str">
        <x:v>无主动效果。</x:v>
      </x:c>
      <x:c r="J104" s="128" t="str">
        <x:v>—</x:v>
      </x:c>
      <x:c r="K104" s="128" t="str">
        <x:v>烹饪</x:v>
      </x:c>
      <x:c r="L104" s="128" t="str">
        <x:v>食物、餐食、商品</x:v>
      </x:c>
      <x:c r="M104" s="128" t="str">
        <x:v>扁圆形</x:v>
      </x:c>
      <x:c r="N104" s="128" t="str">
        <x:v>圆形</x:v>
      </x:c>
      <x:c r="O104" s="128" t="str">
        <x:v>Chef's Pan（触发器!D39）</x:v>
      </x:c>
      <x:c r="P104" s="128" t="str">
        <x:v>随来源测试</x:v>
      </x:c>
      <x:c r="Q104" s="128" t="str">
        <x:v>流派组件</x:v>
      </x:c>
      <x:c r="R104" s="128" t="str">
        <x:v>—</x:v>
      </x:c>
    </x:row>
    <x:row r="105" ht="38" customHeight="1">
      <x:c r="A105" s="134" t="str">
        <x:v>P003</x:v>
      </x:c>
      <x:c r="B105" s="134" t="str">
        <x:v>水珠</x:v>
      </x:c>
      <x:c r="C105" s="134" t="str">
        <x:v>普通</x:v>
      </x:c>
      <x:c r="D105" s="135" t="n">
        <x:v>1</x:v>
      </x:c>
      <x:c r="E105" s="134" t="str">
        <x:v>生成：雨云（每次2颗）、水井（每回合最多2颗）、冰块（融化生成2颗）、遗物雨水桶（每回合1颗）、遗物冷凝管（每回合最多2颗）</x:v>
      </x:c>
      <x:c r="F105" s="136" t="str">
        <x:v>否</x:v>
      </x:c>
      <x:c r="G105" s="136" t="str">
        <x:v>永久</x:v>
      </x:c>
      <x:c r="H105" s="134" t="str">
        <x:v>—</x:v>
      </x:c>
      <x:c r="I105" s="134" t="str">
        <x:v>无主动效果。</x:v>
      </x:c>
      <x:c r="J105" s="134" t="str">
        <x:v>—</x:v>
      </x:c>
      <x:c r="K105" s="134" t="str">
        <x:v>元素</x:v>
      </x:c>
      <x:c r="L105" s="134" t="str">
        <x:v>水元素</x:v>
      </x:c>
      <x:c r="M105" s="134" t="str">
        <x:v>圆形</x:v>
      </x:c>
      <x:c r="N105" s="134" t="str">
        <x:v>圆形</x:v>
      </x:c>
      <x:c r="O105" s="134" t="str">
        <x:v>Ice Cubes（触发器!D16）；Lake（触发器!D49）</x:v>
      </x:c>
      <x:c r="P105" s="134" t="str">
        <x:v>随来源测试</x:v>
      </x:c>
      <x:c r="Q105" s="134" t="str">
        <x:v>共通物品</x:v>
      </x:c>
      <x:c r="R105" s="134" t="str">
        <x:v>种植／元素／集市：用于植物、麦田、锅炉或海绵；同一颗水珠只能被消耗一次。</x:v>
      </x:c>
    </x:row>
    <x:row r="106" ht="30" customHeight="1">
      <x:c r="A106" s="128" t="str">
        <x:v>P004</x:v>
      </x:c>
      <x:c r="B106" s="128" t="str">
        <x:v>花株</x:v>
      </x:c>
      <x:c r="C106" s="128" t="str">
        <x:v>优秀</x:v>
      </x:c>
      <x:c r="D106" s="129" t="n">
        <x:v>4</x:v>
      </x:c>
      <x:c r="E106" s="128" t="str">
        <x:v>变形：幼苗原地永久变形</x:v>
      </x:c>
      <x:c r="F106" s="130" t="str">
        <x:v>否</x:v>
      </x:c>
      <x:c r="G106" s="130" t="str">
        <x:v>永久</x:v>
      </x:c>
      <x:c r="H106" s="128" t="str">
        <x:v>结算时</x:v>
      </x:c>
      <x:c r="I106" s="128" t="str">
        <x:v>结算时，若自身与其他植物接触，自身本回合分值+2。</x:v>
      </x:c>
      <x:c r="J106" s="128" t="str">
        <x:v>每回合限触发1次</x:v>
      </x:c>
      <x:c r="K106" s="128" t="str">
        <x:v>种植</x:v>
      </x:c>
      <x:c r="L106" s="128" t="str">
        <x:v>植物、开花、成长</x:v>
      </x:c>
      <x:c r="M106" s="128" t="str">
        <x:v>小三角形</x:v>
      </x:c>
      <x:c r="N106" s="128" t="str">
        <x:v>三角形</x:v>
      </x:c>
      <x:c r="O106" s="128" t="str">
        <x:v>Seedling（触发器!D24）</x:v>
      </x:c>
      <x:c r="P106" s="128" t="str">
        <x:v>随来源测试</x:v>
      </x:c>
      <x:c r="Q106" s="128" t="str">
        <x:v>流派组件</x:v>
      </x:c>
      <x:c r="R106" s="128" t="str">
        <x:v>—</x:v>
      </x:c>
    </x:row>
    <x:row r="107" ht="30" customHeight="1">
      <x:c r="A107" s="134" t="str">
        <x:v>P005</x:v>
      </x:c>
      <x:c r="B107" s="134" t="str">
        <x:v>葡萄</x:v>
      </x:c>
      <x:c r="C107" s="134" t="str">
        <x:v>普通</x:v>
      </x:c>
      <x:c r="D107" s="135" t="n">
        <x:v>2</x:v>
      </x:c>
      <x:c r="E107" s="134" t="str">
        <x:v>生成：葡萄藤；黄玉可追加生成</x:v>
      </x:c>
      <x:c r="F107" s="136" t="str">
        <x:v>否</x:v>
      </x:c>
      <x:c r="G107" s="136" t="str">
        <x:v>永久</x:v>
      </x:c>
      <x:c r="H107" s="134" t="str">
        <x:v>—</x:v>
      </x:c>
      <x:c r="I107" s="134" t="str">
        <x:v>无主动效果。</x:v>
      </x:c>
      <x:c r="J107" s="134" t="str">
        <x:v>—</x:v>
      </x:c>
      <x:c r="K107" s="134" t="str">
        <x:v>种植</x:v>
      </x:c>
      <x:c r="L107" s="134" t="str">
        <x:v>食物、食材、商品</x:v>
      </x:c>
      <x:c r="M107" s="134" t="str">
        <x:v>圆形</x:v>
      </x:c>
      <x:c r="N107" s="134" t="str">
        <x:v>圆形</x:v>
      </x:c>
      <x:c r="O107" s="134" t="str">
        <x:v>Grape Vine（触发器!D44）</x:v>
      </x:c>
      <x:c r="P107" s="134" t="str">
        <x:v>随来源测试</x:v>
      </x:c>
      <x:c r="Q107" s="134" t="str">
        <x:v>共通物品</x:v>
      </x:c>
      <x:c r="R107" s="134" t="str">
        <x:v>种植→烹饪／集市：葡萄同时是食物、食材、商品；可加工、食用计分或出售。</x:v>
      </x:c>
    </x:row>
    <x:row r="108" ht="30" customHeight="1">
      <x:c r="A108" s="128" t="str">
        <x:v>P006</x:v>
      </x:c>
      <x:c r="B108" s="128" t="str">
        <x:v>苹果</x:v>
      </x:c>
      <x:c r="C108" s="128" t="str">
        <x:v>普通</x:v>
      </x:c>
      <x:c r="D108" s="129" t="n">
        <x:v>3</x:v>
      </x:c>
      <x:c r="E108" s="128" t="str">
        <x:v>生成：果树；黄玉可追加生成</x:v>
      </x:c>
      <x:c r="F108" s="130" t="str">
        <x:v>否</x:v>
      </x:c>
      <x:c r="G108" s="130" t="str">
        <x:v>永久</x:v>
      </x:c>
      <x:c r="H108" s="128" t="str">
        <x:v>—</x:v>
      </x:c>
      <x:c r="I108" s="128" t="str">
        <x:v>无主动效果。</x:v>
      </x:c>
      <x:c r="J108" s="128" t="str">
        <x:v>—</x:v>
      </x:c>
      <x:c r="K108" s="128" t="str">
        <x:v>种植</x:v>
      </x:c>
      <x:c r="L108" s="128" t="str">
        <x:v>食物、食材、商品</x:v>
      </x:c>
      <x:c r="M108" s="128" t="str">
        <x:v>圆形</x:v>
      </x:c>
      <x:c r="N108" s="128" t="str">
        <x:v>圆形</x:v>
      </x:c>
      <x:c r="O108" s="128" t="str">
        <x:v>Tree（触发器!D28）</x:v>
      </x:c>
      <x:c r="P108" s="128" t="str">
        <x:v>随来源测试</x:v>
      </x:c>
      <x:c r="Q108" s="128" t="str">
        <x:v>共通物品</x:v>
      </x:c>
      <x:c r="R108" s="128" t="str">
        <x:v>种植→烹饪／集市：苹果同时是食物、食材、商品；选择保留、加工或出售。</x:v>
      </x:c>
    </x:row>
    <x:row r="109" ht="30" customHeight="1">
      <x:c r="A109" s="134" t="str">
        <x:v>P007</x:v>
      </x:c>
      <x:c r="B109" s="134" t="str">
        <x:v>蜂蜜</x:v>
      </x:c>
      <x:c r="C109" s="134" t="str">
        <x:v>优秀</x:v>
      </x:c>
      <x:c r="D109" s="135" t="n">
        <x:v>5</x:v>
      </x:c>
      <x:c r="E109" s="134" t="str">
        <x:v>生成：蜜蜂；黄玉可追加生成</x:v>
      </x:c>
      <x:c r="F109" s="136" t="str">
        <x:v>否</x:v>
      </x:c>
      <x:c r="G109" s="136" t="str">
        <x:v>永久</x:v>
      </x:c>
      <x:c r="H109" s="134" t="str">
        <x:v>—</x:v>
      </x:c>
      <x:c r="I109" s="134" t="str">
        <x:v>无主动效果。</x:v>
      </x:c>
      <x:c r="J109" s="134" t="str">
        <x:v>—</x:v>
      </x:c>
      <x:c r="K109" s="134" t="str">
        <x:v>种植</x:v>
      </x:c>
      <x:c r="L109" s="134" t="str">
        <x:v>食物、食材、商品</x:v>
      </x:c>
      <x:c r="M109" s="134" t="str">
        <x:v>水滴形</x:v>
      </x:c>
      <x:c r="N109" s="134" t="str">
        <x:v>不规则形</x:v>
      </x:c>
      <x:c r="O109" s="134" t="str">
        <x:v>原创</x:v>
      </x:c>
      <x:c r="P109" s="134" t="str">
        <x:v>随来源测试</x:v>
      </x:c>
      <x:c r="Q109" s="134" t="str">
        <x:v>流派组件</x:v>
      </x:c>
      <x:c r="R109" s="134" t="str">
        <x:v>—</x:v>
      </x:c>
    </x:row>
    <x:row r="110" ht="38" customHeight="1">
      <x:c r="A110" s="128" t="str">
        <x:v>P008</x:v>
      </x:c>
      <x:c r="B110" s="128" t="str">
        <x:v>蛋</x:v>
      </x:c>
      <x:c r="C110" s="128" t="str">
        <x:v>普通</x:v>
      </x:c>
      <x:c r="D110" s="129" t="n">
        <x:v>2</x:v>
      </x:c>
      <x:c r="E110" s="128" t="str">
        <x:v>生成：母鸡、鸟巢（接触母鸡）；黄玉可追加生成</x:v>
      </x:c>
      <x:c r="F110" s="130" t="str">
        <x:v>否</x:v>
      </x:c>
      <x:c r="G110" s="130" t="str">
        <x:v>永久</x:v>
      </x:c>
      <x:c r="H110" s="128" t="str">
        <x:v>结算结束时</x:v>
      </x:c>
      <x:c r="I110" s="128" t="str">
        <x:v>结算结束时，若自身存活，孵化进度+1；达到3时，永久变形为1只雏鸡。</x:v>
      </x:c>
      <x:c r="J110" s="128" t="str">
        <x:v>每回合进度最多+1；进度跨回合保留；生成当回合存活结算也计1次；未入瓶不推进</x:v>
      </x:c>
      <x:c r="K110" s="128" t="str">
        <x:v>牧场</x:v>
      </x:c>
      <x:c r="L110" s="128" t="str">
        <x:v>牧场、食物、食材、商品</x:v>
      </x:c>
      <x:c r="M110" s="128" t="str">
        <x:v>椭圆形</x:v>
      </x:c>
      <x:c r="N110" s="128" t="str">
        <x:v>不规则形</x:v>
      </x:c>
      <x:c r="O110" s="128" t="str">
        <x:v>Nest（触发器!D20）；Chicken（触发器!D71）</x:v>
      </x:c>
      <x:c r="P110" s="128" t="str">
        <x:v>随来源测试</x:v>
      </x:c>
      <x:c r="Q110" s="128" t="str">
        <x:v>共通物品</x:v>
      </x:c>
      <x:c r="R110" s="128" t="str">
        <x:v>牧场→烹饪／集市：蛋可做食材或出售，也可保留3次存活结算孵化；被消耗后不能继续孵化。</x:v>
      </x:c>
    </x:row>
    <x:row r="111" ht="30" customHeight="1">
      <x:c r="A111" s="134" t="str">
        <x:v>P009</x:v>
      </x:c>
      <x:c r="B111" s="134" t="str">
        <x:v>牛奶</x:v>
      </x:c>
      <x:c r="C111" s="134" t="str">
        <x:v>优秀</x:v>
      </x:c>
      <x:c r="D111" s="135" t="n">
        <x:v>5</x:v>
      </x:c>
      <x:c r="E111" s="134" t="str">
        <x:v>生成：奶牛；黄玉可追加生成</x:v>
      </x:c>
      <x:c r="F111" s="136" t="str">
        <x:v>否</x:v>
      </x:c>
      <x:c r="G111" s="136" t="str">
        <x:v>永久</x:v>
      </x:c>
      <x:c r="H111" s="134" t="str">
        <x:v>—</x:v>
      </x:c>
      <x:c r="I111" s="134" t="str">
        <x:v>无主动效果。</x:v>
      </x:c>
      <x:c r="J111" s="134" t="str">
        <x:v>—</x:v>
      </x:c>
      <x:c r="K111" s="134" t="str">
        <x:v>牧场</x:v>
      </x:c>
      <x:c r="L111" s="134" t="str">
        <x:v>食物、食材、商品</x:v>
      </x:c>
      <x:c r="M111" s="134" t="str">
        <x:v>胶囊形</x:v>
      </x:c>
      <x:c r="N111" s="134" t="str">
        <x:v>长条形</x:v>
      </x:c>
      <x:c r="O111" s="134" t="str">
        <x:v>原创</x:v>
      </x:c>
      <x:c r="P111" s="134" t="str">
        <x:v>随来源测试</x:v>
      </x:c>
      <x:c r="Q111" s="134" t="str">
        <x:v>共通物品</x:v>
      </x:c>
      <x:c r="R111" s="134" t="str">
        <x:v>牧场→烹饪／集市：牛奶是食物、食材、商品；不需要专属加工器。</x:v>
      </x:c>
    </x:row>
    <x:row r="112" ht="30" customHeight="1">
      <x:c r="A112" s="128" t="str">
        <x:v>P010</x:v>
      </x:c>
      <x:c r="B112" s="128" t="str">
        <x:v>羊毛</x:v>
      </x:c>
      <x:c r="C112" s="128" t="str">
        <x:v>优秀</x:v>
      </x:c>
      <x:c r="D112" s="129" t="n">
        <x:v>4</x:v>
      </x:c>
      <x:c r="E112" s="128" t="str">
        <x:v>生成：绵羊（接触剪毛剪）；黄玉可追加生成</x:v>
      </x:c>
      <x:c r="F112" s="130" t="str">
        <x:v>否</x:v>
      </x:c>
      <x:c r="G112" s="130" t="str">
        <x:v>永久</x:v>
      </x:c>
      <x:c r="H112" s="128" t="str">
        <x:v>—</x:v>
      </x:c>
      <x:c r="I112" s="128" t="str">
        <x:v>无主动效果。</x:v>
      </x:c>
      <x:c r="J112" s="128" t="str">
        <x:v>—</x:v>
      </x:c>
      <x:c r="K112" s="128" t="str">
        <x:v>牧场</x:v>
      </x:c>
      <x:c r="L112" s="128" t="str">
        <x:v>牧场、消耗材料、商品</x:v>
      </x:c>
      <x:c r="M112" s="128" t="str">
        <x:v>云朵形</x:v>
      </x:c>
      <x:c r="N112" s="128" t="str">
        <x:v>不规则形</x:v>
      </x:c>
      <x:c r="O112" s="128" t="str">
        <x:v>原创</x:v>
      </x:c>
      <x:c r="P112" s="128" t="str">
        <x:v>随来源测试</x:v>
      </x:c>
      <x:c r="Q112" s="128" t="str">
        <x:v>共通物品</x:v>
      </x:c>
      <x:c r="R112" s="128" t="str">
        <x:v>牧场→集市：羊毛可保留给货架增值，或交拍卖槌出售；不能做食材。</x:v>
      </x:c>
    </x:row>
    <x:row r="113" ht="30" customHeight="1">
      <x:c r="A113" s="134" t="str">
        <x:v>P011</x:v>
      </x:c>
      <x:c r="B113" s="134" t="str">
        <x:v>雏鸡</x:v>
      </x:c>
      <x:c r="C113" s="134" t="str">
        <x:v>优秀</x:v>
      </x:c>
      <x:c r="D113" s="135" t="n">
        <x:v>8</x:v>
      </x:c>
      <x:c r="E113" s="134" t="str">
        <x:v>变形：蛋、双黄蛋各累计存活结算3次后原地永久变形</x:v>
      </x:c>
      <x:c r="F113" s="136" t="str">
        <x:v>否</x:v>
      </x:c>
      <x:c r="G113" s="136" t="str">
        <x:v>永久</x:v>
      </x:c>
      <x:c r="H113" s="134" t="str">
        <x:v>—</x:v>
      </x:c>
      <x:c r="I113" s="134" t="str">
        <x:v>无主动效果。</x:v>
      </x:c>
      <x:c r="J113" s="134" t="str">
        <x:v>不自动变为母鸡，不会生蛋</x:v>
      </x:c>
      <x:c r="K113" s="134" t="str">
        <x:v>牧场</x:v>
      </x:c>
      <x:c r="L113" s="134" t="str">
        <x:v>动物</x:v>
      </x:c>
      <x:c r="M113" s="134" t="str">
        <x:v>水滴形</x:v>
      </x:c>
      <x:c r="N113" s="134" t="str">
        <x:v>不规则形</x:v>
      </x:c>
      <x:c r="O113" s="134" t="str">
        <x:v>Chicken（触发器!D71）</x:v>
      </x:c>
      <x:c r="P113" s="134" t="str">
        <x:v>随来源测试</x:v>
      </x:c>
      <x:c r="Q113" s="134" t="str">
        <x:v>流派组件</x:v>
      </x:c>
      <x:c r="R113" s="134" t="str">
        <x:v>—</x:v>
      </x:c>
    </x:row>
    <x:row r="114" ht="30" customHeight="1">
      <x:c r="A114" s="128" t="str">
        <x:v>P012</x:v>
      </x:c>
      <x:c r="B114" s="128" t="str">
        <x:v>彩翼蝶</x:v>
      </x:c>
      <x:c r="C114" s="128" t="str">
        <x:v>稀有</x:v>
      </x:c>
      <x:c r="D114" s="129" t="n">
        <x:v>5</x:v>
      </x:c>
      <x:c r="E114" s="128" t="str">
        <x:v>变形：毛虫原地永久变形</x:v>
      </x:c>
      <x:c r="F114" s="130" t="str">
        <x:v>否</x:v>
      </x:c>
      <x:c r="G114" s="130" t="str">
        <x:v>永久</x:v>
      </x:c>
      <x:c r="H114" s="128" t="str">
        <x:v>接触时</x:v>
      </x:c>
      <x:c r="I114" s="128" t="str">
        <x:v>接触开花植物时，使该植物本回合分值+3。</x:v>
      </x:c>
      <x:c r="J114" s="128" t="str">
        <x:v>每株植物每回合限触发1次；最多3株</x:v>
      </x:c>
      <x:c r="K114" s="128" t="str">
        <x:v>牧场</x:v>
      </x:c>
      <x:c r="L114" s="128" t="str">
        <x:v>动物、植物辅助</x:v>
      </x:c>
      <x:c r="M114" s="128" t="str">
        <x:v>蝴蝶形</x:v>
      </x:c>
      <x:c r="N114" s="128" t="str">
        <x:v>不规则形</x:v>
      </x:c>
      <x:c r="O114" s="128" t="str">
        <x:v>Butterfly（触发器!D105）</x:v>
      </x:c>
      <x:c r="P114" s="128" t="str">
        <x:v>随来源测试</x:v>
      </x:c>
      <x:c r="Q114" s="128" t="str">
        <x:v>流派组件</x:v>
      </x:c>
      <x:c r="R114" s="128" t="str">
        <x:v>—</x:v>
      </x:c>
    </x:row>
    <x:row r="115" ht="30" customHeight="1">
      <x:c r="A115" s="134" t="str">
        <x:v>P013</x:v>
      </x:c>
      <x:c r="B115" s="134" t="str">
        <x:v>矿砂</x:v>
      </x:c>
      <x:c r="C115" s="134" t="str">
        <x:v>普通</x:v>
      </x:c>
      <x:c r="D115" s="135" t="n">
        <x:v>1</x:v>
      </x:c>
      <x:c r="E115" s="134" t="str">
        <x:v>生成：矿工镐（消耗原矿）</x:v>
      </x:c>
      <x:c r="F115" s="136" t="str">
        <x:v>否</x:v>
      </x:c>
      <x:c r="G115" s="136" t="str">
        <x:v>永久</x:v>
      </x:c>
      <x:c r="H115" s="134" t="str">
        <x:v>—</x:v>
      </x:c>
      <x:c r="I115" s="134" t="str">
        <x:v>无主动效果。</x:v>
      </x:c>
      <x:c r="J115" s="134" t="str">
        <x:v>—</x:v>
      </x:c>
      <x:c r="K115" s="134" t="str">
        <x:v>矿业</x:v>
      </x:c>
      <x:c r="L115" s="134" t="str">
        <x:v>矿石</x:v>
      </x:c>
      <x:c r="M115" s="134" t="str">
        <x:v>多边形</x:v>
      </x:c>
      <x:c r="N115" s="134" t="str">
        <x:v>不规则形</x:v>
      </x:c>
      <x:c r="O115" s="134" t="str">
        <x:v>Cairn（触发器!D34）</x:v>
      </x:c>
      <x:c r="P115" s="134" t="str">
        <x:v>随来源测试</x:v>
      </x:c>
      <x:c r="Q115" s="134" t="str">
        <x:v>流派组件</x:v>
      </x:c>
      <x:c r="R115" s="134" t="str">
        <x:v>—</x:v>
      </x:c>
    </x:row>
    <x:row r="116" ht="38" customHeight="1">
      <x:c r="A116" s="128" t="str">
        <x:v>P014</x:v>
      </x:c>
      <x:c r="B116" s="128" t="str">
        <x:v>晶屑</x:v>
      </x:c>
      <x:c r="C116" s="128" t="str">
        <x:v>优秀</x:v>
      </x:c>
      <x:c r="D116" s="129" t="n">
        <x:v>4</x:v>
      </x:c>
      <x:c r="E116" s="128" t="str">
        <x:v>生成：筛矿机、宝箱（基础分4）；宝石切割器（基础分8）；黄玉可追加生成</x:v>
      </x:c>
      <x:c r="F116" s="130" t="str">
        <x:v>否</x:v>
      </x:c>
      <x:c r="G116" s="130" t="str">
        <x:v>永久</x:v>
      </x:c>
      <x:c r="H116" s="128" t="str">
        <x:v>生成时</x:v>
      </x:c>
      <x:c r="I116" s="128" t="str">
        <x:v>无主动效果；宝石切割器生成的晶屑基础分为8。</x:v>
      </x:c>
      <x:c r="J116" s="128" t="str">
        <x:v>—</x:v>
      </x:c>
      <x:c r="K116" s="128" t="str">
        <x:v>矿业</x:v>
      </x:c>
      <x:c r="L116" s="128" t="str">
        <x:v>宝石、商品</x:v>
      </x:c>
      <x:c r="M116" s="128" t="str">
        <x:v>菱形</x:v>
      </x:c>
      <x:c r="N116" s="128" t="str">
        <x:v>不规则形</x:v>
      </x:c>
      <x:c r="O116" s="128" t="str">
        <x:v>Gem Mine（触发器!D79）</x:v>
      </x:c>
      <x:c r="P116" s="128" t="str">
        <x:v>随来源测试</x:v>
      </x:c>
      <x:c r="Q116" s="128" t="str">
        <x:v>共通物品</x:v>
      </x:c>
      <x:c r="R116" s="128" t="str">
        <x:v>矿业→宝石／集市：晶屑可参加宝石配合，也可作为商品出售。</x:v>
      </x:c>
    </x:row>
    <x:row r="117" ht="30" customHeight="1">
      <x:c r="A117" s="134" t="str">
        <x:v>P015</x:v>
      </x:c>
      <x:c r="B117" s="134" t="str">
        <x:v>金砂</x:v>
      </x:c>
      <x:c r="C117" s="134" t="str">
        <x:v>优秀</x:v>
      </x:c>
      <x:c r="D117" s="135" t="n">
        <x:v>4</x:v>
      </x:c>
      <x:c r="E117" s="134" t="str">
        <x:v>生成：筛矿机；黄玉可追加生成</x:v>
      </x:c>
      <x:c r="F117" s="136" t="str">
        <x:v>否</x:v>
      </x:c>
      <x:c r="G117" s="136" t="str">
        <x:v>永久</x:v>
      </x:c>
      <x:c r="H117" s="134" t="str">
        <x:v>—</x:v>
      </x:c>
      <x:c r="I117" s="134" t="str">
        <x:v>无主动效果。</x:v>
      </x:c>
      <x:c r="J117" s="134" t="str">
        <x:v>—</x:v>
      </x:c>
      <x:c r="K117" s="134" t="str">
        <x:v>矿业</x:v>
      </x:c>
      <x:c r="L117" s="134" t="str">
        <x:v>矿石、金属、货币、商品</x:v>
      </x:c>
      <x:c r="M117" s="134" t="str">
        <x:v>小圆形</x:v>
      </x:c>
      <x:c r="N117" s="134" t="str">
        <x:v>圆形</x:v>
      </x:c>
      <x:c r="O117" s="134" t="str">
        <x:v>Rock Crusher（触发器!D92）</x:v>
      </x:c>
      <x:c r="P117" s="134" t="str">
        <x:v>随来源测试</x:v>
      </x:c>
      <x:c r="Q117" s="134" t="str">
        <x:v>共通物品</x:v>
      </x:c>
      <x:c r="R117" s="134" t="str">
        <x:v>矿业→集市：金砂同时是货币和商品；不能被磁铁增值。</x:v>
      </x:c>
    </x:row>
    <x:row r="118" ht="38" customHeight="1">
      <x:c r="A118" s="128" t="str">
        <x:v>P016</x:v>
      </x:c>
      <x:c r="B118" s="128" t="str">
        <x:v>铁锭</x:v>
      </x:c>
      <x:c r="C118" s="128" t="str">
        <x:v>稀有</x:v>
      </x:c>
      <x:c r="D118" s="129" t="n">
        <x:v>10</x:v>
      </x:c>
      <x:c r="E118" s="128" t="str">
        <x:v>生成：熔炉；黄玉可追加生成</x:v>
      </x:c>
      <x:c r="F118" s="130" t="str">
        <x:v>否</x:v>
      </x:c>
      <x:c r="G118" s="130" t="str">
        <x:v>永久</x:v>
      </x:c>
      <x:c r="H118" s="128" t="str">
        <x:v>—</x:v>
      </x:c>
      <x:c r="I118" s="128" t="str">
        <x:v>无主动效果。</x:v>
      </x:c>
      <x:c r="J118" s="128" t="str">
        <x:v>—</x:v>
      </x:c>
      <x:c r="K118" s="128" t="str">
        <x:v>矿业</x:v>
      </x:c>
      <x:c r="L118" s="128" t="str">
        <x:v>金属、商品</x:v>
      </x:c>
      <x:c r="M118" s="128" t="str">
        <x:v>梯形</x:v>
      </x:c>
      <x:c r="N118" s="128" t="str">
        <x:v>不规则形</x:v>
      </x:c>
      <x:c r="O118" s="128" t="str">
        <x:v>Kiln（触发器!D83）</x:v>
      </x:c>
      <x:c r="P118" s="128" t="str">
        <x:v>随来源测试</x:v>
      </x:c>
      <x:c r="Q118" s="128" t="str">
        <x:v>共通物品</x:v>
      </x:c>
      <x:c r="R118" s="128" t="str">
        <x:v>矿业→机械／集市：铁锭可被磁铁增值、货架增值或出售；已冶炼完成，不再次进熔炉。</x:v>
      </x:c>
    </x:row>
    <x:row r="119" ht="30" customHeight="1">
      <x:c r="A119" s="134" t="str">
        <x:v>P017</x:v>
      </x:c>
      <x:c r="B119" s="134" t="str">
        <x:v>火星</x:v>
      </x:c>
      <x:c r="C119" s="134" t="str">
        <x:v>普通</x:v>
      </x:c>
      <x:c r="D119" s="135" t="n">
        <x:v>1</x:v>
      </x:c>
      <x:c r="E119" s="134" t="str">
        <x:v>临时生成：小火山</x:v>
      </x:c>
      <x:c r="F119" s="136" t="str">
        <x:v>否</x:v>
      </x:c>
      <x:c r="G119" s="136" t="str">
        <x:v>临时</x:v>
      </x:c>
      <x:c r="H119" s="134" t="str">
        <x:v>—</x:v>
      </x:c>
      <x:c r="I119" s="134" t="str">
        <x:v>无主动效果；可为工具点火或满足火元素接触条件。</x:v>
      </x:c>
      <x:c r="J119" s="134" t="str">
        <x:v>—</x:v>
      </x:c>
      <x:c r="K119" s="134" t="str">
        <x:v>元素</x:v>
      </x:c>
      <x:c r="L119" s="134" t="str">
        <x:v>火元素</x:v>
      </x:c>
      <x:c r="M119" s="134" t="str">
        <x:v>小三角形</x:v>
      </x:c>
      <x:c r="N119" s="134" t="str">
        <x:v>三角形</x:v>
      </x:c>
      <x:c r="O119" s="134" t="str">
        <x:v>Spell of Ignition（触发器!D124）</x:v>
      </x:c>
      <x:c r="P119" s="134" t="str">
        <x:v>随来源测试</x:v>
      </x:c>
      <x:c r="Q119" s="134" t="str">
        <x:v>流派组件</x:v>
      </x:c>
      <x:c r="R119" s="134" t="str">
        <x:v>—</x:v>
      </x:c>
    </x:row>
    <x:row r="120" ht="30" customHeight="1">
      <x:c r="A120" s="128" t="str">
        <x:v>P018</x:v>
      </x:c>
      <x:c r="B120" s="128" t="str">
        <x:v>礼花</x:v>
      </x:c>
      <x:c r="C120" s="128" t="str">
        <x:v>优秀</x:v>
      </x:c>
      <x:c r="D120" s="129" t="n">
        <x:v>4</x:v>
      </x:c>
      <x:c r="E120" s="128" t="str">
        <x:v>临时生成：鞭炮</x:v>
      </x:c>
      <x:c r="F120" s="130" t="str">
        <x:v>否</x:v>
      </x:c>
      <x:c r="G120" s="130" t="str">
        <x:v>临时</x:v>
      </x:c>
      <x:c r="H120" s="128" t="str">
        <x:v>—</x:v>
      </x:c>
      <x:c r="I120" s="128" t="str">
        <x:v>无主动效果。</x:v>
      </x:c>
      <x:c r="J120" s="128" t="str">
        <x:v>—</x:v>
      </x:c>
      <x:c r="K120" s="128" t="str">
        <x:v>元素</x:v>
      </x:c>
      <x:c r="L120" s="128" t="str">
        <x:v>火元素</x:v>
      </x:c>
      <x:c r="M120" s="128" t="str">
        <x:v>星形</x:v>
      </x:c>
      <x:c r="N120" s="128" t="str">
        <x:v>不规则形</x:v>
      </x:c>
      <x:c r="O120" s="128" t="str">
        <x:v>Firecracker（触发器!D42）</x:v>
      </x:c>
      <x:c r="P120" s="128" t="str">
        <x:v>随来源测试</x:v>
      </x:c>
      <x:c r="Q120" s="128" t="str">
        <x:v>流派组件</x:v>
      </x:c>
      <x:c r="R120" s="128" t="str">
        <x:v>—</x:v>
      </x:c>
    </x:row>
    <x:row r="121" ht="30" customHeight="1">
      <x:c r="A121" s="134" t="str">
        <x:v>P019</x:v>
      </x:c>
      <x:c r="B121" s="134" t="str">
        <x:v>蒸汽</x:v>
      </x:c>
      <x:c r="C121" s="134" t="str">
        <x:v>稀有</x:v>
      </x:c>
      <x:c r="D121" s="135" t="n">
        <x:v>8</x:v>
      </x:c>
      <x:c r="E121" s="134" t="str">
        <x:v>临时生成：蒸汽锅炉</x:v>
      </x:c>
      <x:c r="F121" s="136" t="str">
        <x:v>否</x:v>
      </x:c>
      <x:c r="G121" s="136" t="str">
        <x:v>临时</x:v>
      </x:c>
      <x:c r="H121" s="134" t="str">
        <x:v>—</x:v>
      </x:c>
      <x:c r="I121" s="134" t="str">
        <x:v>无主动效果。</x:v>
      </x:c>
      <x:c r="J121" s="134" t="str">
        <x:v>只参与本回合结算；结算后消失</x:v>
      </x:c>
      <x:c r="K121" s="134" t="str">
        <x:v>元素</x:v>
      </x:c>
      <x:c r="L121" s="134" t="str">
        <x:v>蒸汽</x:v>
      </x:c>
      <x:c r="M121" s="134" t="str">
        <x:v>云朵形</x:v>
      </x:c>
      <x:c r="N121" s="134" t="str">
        <x:v>不规则形</x:v>
      </x:c>
      <x:c r="O121" s="134" t="str">
        <x:v>Radiator（触发器!D23）</x:v>
      </x:c>
      <x:c r="P121" s="134" t="str">
        <x:v>随来源测试</x:v>
      </x:c>
      <x:c r="Q121" s="134" t="str">
        <x:v>流派组件</x:v>
      </x:c>
      <x:c r="R121" s="134" t="str">
        <x:v>—</x:v>
      </x:c>
    </x:row>
    <x:row r="122" ht="30" customHeight="1">
      <x:c r="A122" s="128" t="str">
        <x:v>P020</x:v>
      </x:c>
      <x:c r="B122" s="128" t="str">
        <x:v>零钱</x:v>
      </x:c>
      <x:c r="C122" s="128" t="str">
        <x:v>普通</x:v>
      </x:c>
      <x:c r="D122" s="129" t="n">
        <x:v>2</x:v>
      </x:c>
      <x:c r="E122" s="128" t="str">
        <x:v>生成：守门巨像；黄玉可追加生成</x:v>
      </x:c>
      <x:c r="F122" s="130" t="str">
        <x:v>否</x:v>
      </x:c>
      <x:c r="G122" s="130" t="str">
        <x:v>永久</x:v>
      </x:c>
      <x:c r="H122" s="128" t="str">
        <x:v>—</x:v>
      </x:c>
      <x:c r="I122" s="128" t="str">
        <x:v>无主动效果。</x:v>
      </x:c>
      <x:c r="J122" s="128" t="str">
        <x:v>—</x:v>
      </x:c>
      <x:c r="K122" s="128" t="str">
        <x:v>集市</x:v>
      </x:c>
      <x:c r="L122" s="128" t="str">
        <x:v>货币、金属、商品</x:v>
      </x:c>
      <x:c r="M122" s="128" t="str">
        <x:v>小圆形</x:v>
      </x:c>
      <x:c r="N122" s="128" t="str">
        <x:v>圆形</x:v>
      </x:c>
      <x:c r="O122" s="128" t="str">
        <x:v>Credit Card（触发器!D14）；Tophat（触发器!D99）</x:v>
      </x:c>
      <x:c r="P122" s="128" t="str">
        <x:v>随来源测试</x:v>
      </x:c>
      <x:c r="Q122" s="128" t="str">
        <x:v>流派组件</x:v>
      </x:c>
      <x:c r="R122" s="128" t="str">
        <x:v>—</x:v>
      </x:c>
    </x:row>
    <x:row r="123" ht="38" customHeight="1">
      <x:c r="A123" s="134" t="str">
        <x:v>P021</x:v>
      </x:c>
      <x:c r="B123" s="134" t="str">
        <x:v>纸影</x:v>
      </x:c>
      <x:c r="C123" s="134" t="str">
        <x:v>优秀</x:v>
      </x:c>
      <x:c r="D123" s="135" t="n">
        <x:v>0</x:v>
      </x:c>
      <x:c r="E123" s="134" t="str">
        <x:v>临时生成：复印机</x:v>
      </x:c>
      <x:c r="F123" s="136" t="str">
        <x:v>否</x:v>
      </x:c>
      <x:c r="G123" s="136" t="str">
        <x:v>临时</x:v>
      </x:c>
      <x:c r="H123" s="134" t="str">
        <x:v>生成时／被消耗时</x:v>
      </x:c>
      <x:c r="I123" s="134" t="str">
        <x:v>基础分等于复印机目标当时的当前分值，上限12。被焚化炉消耗时，生成1个幽灵。</x:v>
      </x:c>
      <x:c r="J123" s="134" t="str">
        <x:v>不复制原商品的能力或标签；同一纸影每回合最多生成1个幽灵</x:v>
      </x:c>
      <x:c r="K123" s="134" t="str">
        <x:v>机械</x:v>
      </x:c>
      <x:c r="L123" s="134" t="str">
        <x:v>消耗材料</x:v>
      </x:c>
      <x:c r="M123" s="134" t="str">
        <x:v>方形</x:v>
      </x:c>
      <x:c r="N123" s="134" t="str">
        <x:v>方形</x:v>
      </x:c>
      <x:c r="O123" s="134" t="str">
        <x:v>Axe（触发器!D68）</x:v>
      </x:c>
      <x:c r="P123" s="134" t="str">
        <x:v>随来源测试</x:v>
      </x:c>
      <x:c r="Q123" s="134" t="str">
        <x:v>共通物品</x:v>
      </x:c>
      <x:c r="R123" s="134" t="str">
        <x:v>机械→灵魂：临时纸影交焚化炉，可产永久幽灵与临时魂火；不用时结算后消失。</x:v>
      </x:c>
    </x:row>
    <x:row r="124" ht="30" customHeight="1">
      <x:c r="A124" s="128" t="str">
        <x:v>P022</x:v>
      </x:c>
      <x:c r="B124" s="128" t="str">
        <x:v>幽灵</x:v>
      </x:c>
      <x:c r="C124" s="128" t="str">
        <x:v>普通</x:v>
      </x:c>
      <x:c r="D124" s="129" t="n">
        <x:v>2</x:v>
      </x:c>
      <x:c r="E124" s="128" t="str">
        <x:v>生成：幽灵之门、纸人、纸影（被焚化炉消耗）</x:v>
      </x:c>
      <x:c r="F124" s="130" t="str">
        <x:v>否</x:v>
      </x:c>
      <x:c r="G124" s="130" t="str">
        <x:v>永久</x:v>
      </x:c>
      <x:c r="H124" s="128" t="str">
        <x:v>被消耗时</x:v>
      </x:c>
      <x:c r="I124" s="128" t="str">
        <x:v>被消耗时，直接计分2。</x:v>
      </x:c>
      <x:c r="J124" s="128" t="str">
        <x:v>同一物品每回合限触发1次</x:v>
      </x:c>
      <x:c r="K124" s="128" t="str">
        <x:v>灵魂</x:v>
      </x:c>
      <x:c r="L124" s="128" t="str">
        <x:v>灵魂</x:v>
      </x:c>
      <x:c r="M124" s="128" t="str">
        <x:v>圆头水滴形</x:v>
      </x:c>
      <x:c r="N124" s="128" t="str">
        <x:v>不规则形</x:v>
      </x:c>
      <x:c r="O124" s="128" t="str">
        <x:v>Douter（增益!D9）；Tombstone（增益!D26）</x:v>
      </x:c>
      <x:c r="P124" s="128" t="str">
        <x:v>随来源测试</x:v>
      </x:c>
      <x:c r="Q124" s="128" t="str">
        <x:v>流派组件</x:v>
      </x:c>
      <x:c r="R124" s="128" t="str">
        <x:v>—</x:v>
      </x:c>
    </x:row>
    <x:row r="125" ht="30" customHeight="1">
      <x:c r="A125" s="134" t="str">
        <x:v>P023</x:v>
      </x:c>
      <x:c r="B125" s="134" t="str">
        <x:v>魂火</x:v>
      </x:c>
      <x:c r="C125" s="134" t="str">
        <x:v>优秀</x:v>
      </x:c>
      <x:c r="D125" s="135" t="n">
        <x:v>4</x:v>
      </x:c>
      <x:c r="E125" s="134" t="str">
        <x:v>临时生成：焚化炉</x:v>
      </x:c>
      <x:c r="F125" s="136" t="str">
        <x:v>否</x:v>
      </x:c>
      <x:c r="G125" s="136" t="str">
        <x:v>临时</x:v>
      </x:c>
      <x:c r="H125" s="134" t="str">
        <x:v>—</x:v>
      </x:c>
      <x:c r="I125" s="134" t="str">
        <x:v>无主动效果。</x:v>
      </x:c>
      <x:c r="J125" s="134" t="str">
        <x:v>—</x:v>
      </x:c>
      <x:c r="K125" s="134" t="str">
        <x:v>灵魂</x:v>
      </x:c>
      <x:c r="L125" s="134" t="str">
        <x:v>灵魂、火元素</x:v>
      </x:c>
      <x:c r="M125" s="134" t="str">
        <x:v>水滴形</x:v>
      </x:c>
      <x:c r="N125" s="134" t="str">
        <x:v>不规则形</x:v>
      </x:c>
      <x:c r="O125" s="134" t="str">
        <x:v>Douter（增益!D9）</x:v>
      </x:c>
      <x:c r="P125" s="134" t="str">
        <x:v>随来源测试</x:v>
      </x:c>
      <x:c r="Q125" s="134" t="str">
        <x:v>流派组件</x:v>
      </x:c>
      <x:c r="R125" s="134" t="str">
        <x:v>—</x:v>
      </x:c>
    </x:row>
    <x:row r="126" ht="30" customHeight="1">
      <x:c r="A126" s="128" t="str">
        <x:v>P024</x:v>
      </x:c>
      <x:c r="B126" s="128" t="str">
        <x:v>宝藏徽记</x:v>
      </x:c>
      <x:c r="C126" s="128" t="str">
        <x:v>稀有</x:v>
      </x:c>
      <x:c r="D126" s="129" t="n">
        <x:v>10</x:v>
      </x:c>
      <x:c r="E126" s="128" t="str">
        <x:v>生成：宝箱；黄玉可追加生成</x:v>
      </x:c>
      <x:c r="F126" s="130" t="str">
        <x:v>否</x:v>
      </x:c>
      <x:c r="G126" s="130" t="str">
        <x:v>永久</x:v>
      </x:c>
      <x:c r="H126" s="128" t="str">
        <x:v>—</x:v>
      </x:c>
      <x:c r="I126" s="128" t="str">
        <x:v>无主动效果。</x:v>
      </x:c>
      <x:c r="J126" s="128" t="str">
        <x:v>—</x:v>
      </x:c>
      <x:c r="K126" s="128" t="str">
        <x:v>探险</x:v>
      </x:c>
      <x:c r="L126" s="128" t="str">
        <x:v>探险、宝石、商品</x:v>
      </x:c>
      <x:c r="M126" s="128" t="str">
        <x:v>六边形</x:v>
      </x:c>
      <x:c r="N126" s="128" t="str">
        <x:v>不规则形</x:v>
      </x:c>
      <x:c r="O126" s="128" t="str">
        <x:v>Treasure Chest（触发器!D61）</x:v>
      </x:c>
      <x:c r="P126" s="128" t="str">
        <x:v>随来源测试</x:v>
      </x:c>
      <x:c r="Q126" s="128" t="str">
        <x:v>共通物品</x:v>
      </x:c>
      <x:c r="R126" s="128" t="str">
        <x:v>探险→宝石／集市：宝藏徽记可参加宝石配合或出售。</x:v>
      </x:c>
    </x:row>
    <x:row r="127" ht="30" customHeight="1">
      <x:c r="A127" s="134" t="str">
        <x:v>P025</x:v>
      </x:c>
      <x:c r="B127" s="134" t="str">
        <x:v>奖杯</x:v>
      </x:c>
      <x:c r="C127" s="134" t="str">
        <x:v>稀有</x:v>
      </x:c>
      <x:c r="D127" s="135" t="n">
        <x:v>12</x:v>
      </x:c>
      <x:c r="E127" s="134" t="str">
        <x:v>生成：守门巨像；黄玉可追加生成</x:v>
      </x:c>
      <x:c r="F127" s="136" t="str">
        <x:v>否</x:v>
      </x:c>
      <x:c r="G127" s="136" t="str">
        <x:v>永久</x:v>
      </x:c>
      <x:c r="H127" s="134" t="str">
        <x:v>—</x:v>
      </x:c>
      <x:c r="I127" s="134" t="str">
        <x:v>无主动效果。</x:v>
      </x:c>
      <x:c r="J127" s="134" t="str">
        <x:v>—</x:v>
      </x:c>
      <x:c r="K127" s="134" t="str">
        <x:v>探险</x:v>
      </x:c>
      <x:c r="L127" s="134" t="str">
        <x:v>探险、金属、商品</x:v>
      </x:c>
      <x:c r="M127" s="134" t="str">
        <x:v>杯形</x:v>
      </x:c>
      <x:c r="N127" s="134" t="str">
        <x:v>凹槽形</x:v>
      </x:c>
      <x:c r="O127" s="134" t="str">
        <x:v>Cave Troll（触发器!D37）</x:v>
      </x:c>
      <x:c r="P127" s="134" t="str">
        <x:v>随来源测试</x:v>
      </x:c>
      <x:c r="Q127" s="134" t="str">
        <x:v>共通物品</x:v>
      </x:c>
      <x:c r="R127" s="134" t="str">
        <x:v>探险→集市：奖杯可作商品出售；虽有金属标签，也不能被磁铁增值。</x:v>
      </x:c>
    </x:row>
    <x:row r="128" ht="30" customHeight="1">
      <x:c r="A128" s="128" t="str">
        <x:v>P026</x:v>
      </x:c>
      <x:c r="B128" s="128" t="str">
        <x:v>古物奖章</x:v>
      </x:c>
      <x:c r="C128" s="128" t="str">
        <x:v>史诗</x:v>
      </x:c>
      <x:c r="D128" s="129" t="n">
        <x:v>10</x:v>
      </x:c>
      <x:c r="E128" s="128" t="str">
        <x:v>变形：时光胶囊原地永久变形</x:v>
      </x:c>
      <x:c r="F128" s="130" t="str">
        <x:v>否</x:v>
      </x:c>
      <x:c r="G128" s="130" t="str">
        <x:v>永久</x:v>
      </x:c>
      <x:c r="H128" s="128" t="str">
        <x:v>结算时</x:v>
      </x:c>
      <x:c r="I128" s="128" t="str">
        <x:v>结算时，自身本回合分值+2；若自身与成长物品接触，自身本回合分值再+4。</x:v>
      </x:c>
      <x:c r="J128" s="128" t="str">
        <x:v>每回合限触发1次</x:v>
      </x:c>
      <x:c r="K128" s="128" t="str">
        <x:v>结算</x:v>
      </x:c>
      <x:c r="L128" s="128" t="str">
        <x:v>结算、金属、商品</x:v>
      </x:c>
      <x:c r="M128" s="128" t="str">
        <x:v>圆形</x:v>
      </x:c>
      <x:c r="N128" s="128" t="str">
        <x:v>圆形</x:v>
      </x:c>
      <x:c r="O128" s="128" t="str">
        <x:v>Time Capsule（触发器!D98）</x:v>
      </x:c>
      <x:c r="P128" s="128" t="str">
        <x:v>随来源测试</x:v>
      </x:c>
      <x:c r="Q128" s="128" t="str">
        <x:v>流派组件</x:v>
      </x:c>
      <x:c r="R128" s="128" t="str">
        <x:v>—</x:v>
      </x:c>
    </x:row>
    <x:row r="129" ht="30" customHeight="1">
      <x:c r="A129" s="134" t="str">
        <x:v>P027</x:v>
      </x:c>
      <x:c r="B129" s="134" t="str">
        <x:v>饼干屑</x:v>
      </x:c>
      <x:c r="C129" s="134" t="str">
        <x:v>普通</x:v>
      </x:c>
      <x:c r="D129" s="135" t="n">
        <x:v>1</x:v>
      </x:c>
      <x:c r="E129" s="134" t="str">
        <x:v>生成：遗物餐后点心</x:v>
      </x:c>
      <x:c r="F129" s="136" t="str">
        <x:v>否</x:v>
      </x:c>
      <x:c r="G129" s="136" t="str">
        <x:v>永久</x:v>
      </x:c>
      <x:c r="H129" s="134" t="str">
        <x:v>—</x:v>
      </x:c>
      <x:c r="I129" s="134" t="str">
        <x:v>无主动效果。</x:v>
      </x:c>
      <x:c r="J129" s="134" t="str">
        <x:v>—</x:v>
      </x:c>
      <x:c r="K129" s="134" t="str">
        <x:v>烹饪</x:v>
      </x:c>
      <x:c r="L129" s="134" t="str">
        <x:v>食物、食材、商品</x:v>
      </x:c>
      <x:c r="M129" s="134" t="str">
        <x:v>小多边形</x:v>
      </x:c>
      <x:c r="N129" s="134" t="str">
        <x:v>不规则形</x:v>
      </x:c>
      <x:c r="O129" s="134" t="str">
        <x:v>原创</x:v>
      </x:c>
      <x:c r="P129" s="134" t="str">
        <x:v>随来源测试</x:v>
      </x:c>
      <x:c r="Q129" s="134" t="str">
        <x:v>流派组件</x:v>
      </x:c>
      <x:c r="R129" s="134" t="str">
        <x:v>—</x:v>
      </x:c>
    </x:row>
    <x:row r="130" ht="30" customHeight="1">
      <x:c r="A130" s="128" t="str">
        <x:v>P028</x:v>
      </x:c>
      <x:c r="B130" s="128" t="str">
        <x:v>花粉</x:v>
      </x:c>
      <x:c r="C130" s="128" t="str">
        <x:v>普通</x:v>
      </x:c>
      <x:c r="D130" s="129" t="n">
        <x:v>2</x:v>
      </x:c>
      <x:c r="E130" s="128" t="str">
        <x:v>临时生成：遗物授粉手册</x:v>
      </x:c>
      <x:c r="F130" s="130" t="str">
        <x:v>否</x:v>
      </x:c>
      <x:c r="G130" s="130" t="str">
        <x:v>临时</x:v>
      </x:c>
      <x:c r="H130" s="128" t="str">
        <x:v>—</x:v>
      </x:c>
      <x:c r="I130" s="128" t="str">
        <x:v>无主动效果。</x:v>
      </x:c>
      <x:c r="J130" s="128" t="str">
        <x:v>—</x:v>
      </x:c>
      <x:c r="K130" s="128" t="str">
        <x:v>种植</x:v>
      </x:c>
      <x:c r="L130" s="128" t="str">
        <x:v>花粉</x:v>
      </x:c>
      <x:c r="M130" s="128" t="str">
        <x:v>小圆形</x:v>
      </x:c>
      <x:c r="N130" s="128" t="str">
        <x:v>圆形</x:v>
      </x:c>
      <x:c r="O130" s="128" t="str">
        <x:v>原创</x:v>
      </x:c>
      <x:c r="P130" s="128" t="str">
        <x:v>随来源测试</x:v>
      </x:c>
      <x:c r="Q130" s="128" t="str">
        <x:v>流派组件</x:v>
      </x:c>
      <x:c r="R130" s="128" t="str">
        <x:v>—</x:v>
      </x:c>
    </x:row>
    <x:row r="131" ht="52" customHeight="1">
      <x:c r="A131" s="134" t="str">
        <x:v>P029</x:v>
      </x:c>
      <x:c r="B131" s="134" t="str">
        <x:v>双黄蛋</x:v>
      </x:c>
      <x:c r="C131" s="134" t="str">
        <x:v>优秀</x:v>
      </x:c>
      <x:c r="D131" s="135" t="n">
        <x:v>5</x:v>
      </x:c>
      <x:c r="E131" s="134" t="str">
        <x:v>生成替换：遗物双黄蛋谱将普通蛋改为双黄蛋；黄玉可追加生成</x:v>
      </x:c>
      <x:c r="F131" s="134" t="str">
        <x:v>否</x:v>
      </x:c>
      <x:c r="G131" s="134" t="str">
        <x:v>永久</x:v>
      </x:c>
      <x:c r="H131" s="134" t="str">
        <x:v>结算结束时</x:v>
      </x:c>
      <x:c r="I131" s="134" t="str">
        <x:v>在蛋专属条件中视为1颗蛋。结算结束时，若自身存活，孵化进度+1；达到3时，永久变形为1只雏鸡。</x:v>
      </x:c>
      <x:c r="J131" s="134" t="str">
        <x:v>每回合进度最多+1；进度跨回合保留；生成当回合存活结算也计1次；未入瓶不推进；不孵化2只</x:v>
      </x:c>
      <x:c r="K131" s="134" t="str">
        <x:v>牧场</x:v>
      </x:c>
      <x:c r="L131" s="134" t="str">
        <x:v>牧场、食物、食材、商品</x:v>
      </x:c>
      <x:c r="M131" s="134" t="str">
        <x:v>宽椭圆</x:v>
      </x:c>
      <x:c r="N131" s="134" t="str">
        <x:v>不规则形</x:v>
      </x:c>
      <x:c r="O131" s="134" t="str">
        <x:v>Chicken（触发器!D71）</x:v>
      </x:c>
      <x:c r="P131" s="134" t="str">
        <x:v>随来源测试</x:v>
      </x:c>
      <x:c r="Q131" s="134" t="str">
        <x:v>共通物品</x:v>
      </x:c>
      <x:c r="R131" s="134" t="str">
        <x:v>牧场→烹饪／集市：与蛋相同的用途；保留3次存活结算仅孵化1只雏鸡。</x:v>
      </x:c>
    </x:row>
    <x:row r="132" ht="30" customHeight="1">
      <x:c r="A132" s="128" t="str">
        <x:v>P030</x:v>
      </x:c>
      <x:c r="B132" s="128" t="str">
        <x:v>铁屑</x:v>
      </x:c>
      <x:c r="C132" s="128" t="str">
        <x:v>普通</x:v>
      </x:c>
      <x:c r="D132" s="129" t="n">
        <x:v>1</x:v>
      </x:c>
      <x:c r="E132" s="128" t="str">
        <x:v>生成：遗物边角料箱（熔炉消耗铁矿块）</x:v>
      </x:c>
      <x:c r="F132" s="128" t="str">
        <x:v>否</x:v>
      </x:c>
      <x:c r="G132" s="128" t="str">
        <x:v>永久</x:v>
      </x:c>
      <x:c r="H132" s="128" t="str">
        <x:v>—</x:v>
      </x:c>
      <x:c r="I132" s="128" t="str">
        <x:v>无主动效果。</x:v>
      </x:c>
      <x:c r="J132" s="128" t="str">
        <x:v>—</x:v>
      </x:c>
      <x:c r="K132" s="128" t="str">
        <x:v>矿业</x:v>
      </x:c>
      <x:c r="L132" s="128" t="str">
        <x:v>金属、消耗材料、商品</x:v>
      </x:c>
      <x:c r="M132" s="128" t="str">
        <x:v>多边形</x:v>
      </x:c>
      <x:c r="N132" s="128" t="str">
        <x:v>不规则形</x:v>
      </x:c>
      <x:c r="O132" s="128" t="str">
        <x:v>Smokestack（增益!D25）</x:v>
      </x:c>
      <x:c r="P132" s="128" t="str">
        <x:v>随来源测试</x:v>
      </x:c>
      <x:c r="Q132" s="128" t="str">
        <x:v>流派组件</x:v>
      </x:c>
      <x:c r="R132" s="128" t="str">
        <x:v>—</x:v>
      </x:c>
    </x:row>
    <x:row r="133" ht="30" customHeight="1">
      <x:c r="A133" s="134" t="str">
        <x:v>P032</x:v>
      </x:c>
      <x:c r="B133" s="134" t="str">
        <x:v>纪念票</x:v>
      </x:c>
      <x:c r="C133" s="134" t="str">
        <x:v>优秀</x:v>
      </x:c>
      <x:c r="D133" s="135" t="n">
        <x:v>3</x:v>
      </x:c>
      <x:c r="E133" s="134" t="str">
        <x:v>生成：遗物集邮册</x:v>
      </x:c>
      <x:c r="F133" s="134" t="str">
        <x:v>否</x:v>
      </x:c>
      <x:c r="G133" s="134" t="str">
        <x:v>永久</x:v>
      </x:c>
      <x:c r="H133" s="134" t="str">
        <x:v>—</x:v>
      </x:c>
      <x:c r="I133" s="134" t="str">
        <x:v>无主动效果，可被印章增值、邮筒消耗。</x:v>
      </x:c>
      <x:c r="J133" s="134" t="str">
        <x:v>—</x:v>
      </x:c>
      <x:c r="K133" s="134" t="str">
        <x:v>连锁</x:v>
      </x:c>
      <x:c r="L133" s="134" t="str">
        <x:v>连锁、消耗材料、商品</x:v>
      </x:c>
      <x:c r="M133" s="134" t="str">
        <x:v>长方形</x:v>
      </x:c>
      <x:c r="N133" s="134" t="str">
        <x:v>长条形</x:v>
      </x:c>
      <x:c r="O133" s="134" t="str">
        <x:v>原创</x:v>
      </x:c>
      <x:c r="P133" s="134" t="str">
        <x:v>随来源测试</x:v>
      </x:c>
      <x:c r="Q133" s="134" t="str">
        <x:v>流派组件</x:v>
      </x:c>
      <x:c r="R133" s="134" t="str">
        <x:v>—</x:v>
      </x:c>
    </x:row>
    <x:row r="134" ht="30" customHeight="1">
      <x:c r="A134"/>
      <x:c r="B134"/>
      <x:c r="C134"/>
      <x:c r="D134"/>
      <x:c r="E134"/>
      <x:c r="F134"/>
      <x:c r="G134"/>
      <x:c r="H134"/>
      <x:c r="I134"/>
      <x:c r="J134"/>
      <x:c r="K134"/>
      <x:c r="L134"/>
      <x:c r="M134"/>
      <x:c r="N134"/>
      <x:c r="O134"/>
      <x:c r="P134"/>
    </x:row>
    <x:row r="135" ht="30" customHeight="1">
      <x:c r="A135"/>
      <x:c r="B135"/>
      <x:c r="C135"/>
      <x:c r="D135"/>
      <x:c r="E135"/>
      <x:c r="F135"/>
      <x:c r="G135"/>
      <x:c r="H135"/>
      <x:c r="I135"/>
      <x:c r="J135"/>
      <x:c r="K135"/>
      <x:c r="L135"/>
      <x:c r="M135"/>
      <x:c r="N135"/>
      <x:c r="O135"/>
      <x:c r="P135"/>
    </x:row>
    <x:row r="136" ht="30" customHeight="1">
      <x:c r="A136"/>
      <x:c r="B136"/>
      <x:c r="C136"/>
      <x:c r="D136"/>
      <x:c r="E136"/>
      <x:c r="F136"/>
      <x:c r="G136"/>
      <x:c r="H136"/>
      <x:c r="I136"/>
      <x:c r="J136"/>
      <x:c r="K136"/>
      <x:c r="L136"/>
      <x:c r="M136"/>
      <x:c r="N136"/>
      <x:c r="O136"/>
      <x:c r="P136"/>
    </x:row>
    <x:row r="137" ht="30" customHeight="1">
      <x:c r="A137"/>
      <x:c r="B137"/>
      <x:c r="C137"/>
      <x:c r="D137"/>
      <x:c r="E137"/>
      <x:c r="F137"/>
      <x:c r="G137"/>
      <x:c r="H137"/>
      <x:c r="I137"/>
      <x:c r="J137"/>
      <x:c r="K137"/>
      <x:c r="L137"/>
      <x:c r="M137"/>
      <x:c r="N137"/>
      <x:c r="O137"/>
      <x:c r="P137"/>
    </x:row>
    <x:row r="138" ht="30" customHeight="1">
      <x:c r="A138"/>
      <x:c r="B138"/>
      <x:c r="C138"/>
      <x:c r="D138"/>
      <x:c r="E138"/>
      <x:c r="F138"/>
      <x:c r="G138"/>
      <x:c r="H138"/>
      <x:c r="I138"/>
      <x:c r="J138"/>
      <x:c r="K138"/>
      <x:c r="L138"/>
      <x:c r="M138"/>
      <x:c r="N138"/>
      <x:c r="O138"/>
      <x:c r="P138"/>
    </x:row>
    <x:row r="139" ht="30" customHeight="1">
      <x:c r="A139"/>
      <x:c r="B139"/>
      <x:c r="C139"/>
      <x:c r="D139"/>
      <x:c r="E139"/>
      <x:c r="F139"/>
      <x:c r="G139"/>
      <x:c r="H139"/>
      <x:c r="I139"/>
      <x:c r="J139"/>
      <x:c r="K139"/>
      <x:c r="L139"/>
      <x:c r="M139"/>
      <x:c r="N139"/>
      <x:c r="O139"/>
      <x:c r="P139"/>
    </x:row>
    <x:row r="140" ht="30" customHeight="1">
      <x:c r="A140"/>
      <x:c r="B140"/>
      <x:c r="C140"/>
      <x:c r="D140"/>
      <x:c r="E140"/>
      <x:c r="F140"/>
      <x:c r="G140"/>
      <x:c r="H140"/>
      <x:c r="I140"/>
      <x:c r="J140"/>
      <x:c r="K140"/>
      <x:c r="L140"/>
      <x:c r="M140"/>
      <x:c r="N140"/>
      <x:c r="O140"/>
      <x:c r="P140"/>
    </x:row>
    <x:row r="141" ht="30" customHeight="1">
      <x:c r="A141"/>
      <x:c r="B141"/>
      <x:c r="C141"/>
      <x:c r="D141"/>
      <x:c r="E141"/>
      <x:c r="F141"/>
      <x:c r="G141"/>
      <x:c r="H141"/>
      <x:c r="I141"/>
      <x:c r="J141"/>
      <x:c r="K141"/>
      <x:c r="L141"/>
      <x:c r="M141"/>
      <x:c r="N141"/>
      <x:c r="O141"/>
      <x:c r="P141"/>
    </x:row>
    <x:row r="142" ht="30" customHeight="1">
      <x:c r="A142"/>
      <x:c r="B142"/>
      <x:c r="C142"/>
      <x:c r="D142"/>
      <x:c r="E142"/>
      <x:c r="F142"/>
      <x:c r="G142"/>
      <x:c r="H142"/>
      <x:c r="I142"/>
      <x:c r="J142"/>
      <x:c r="K142"/>
      <x:c r="L142"/>
      <x:c r="M142"/>
      <x:c r="N142"/>
      <x:c r="O142"/>
      <x:c r="P142"/>
    </x:row>
    <x:row r="143" ht="30" customHeight="1">
      <x:c r="A143"/>
      <x:c r="B143"/>
      <x:c r="C143"/>
      <x:c r="D143"/>
      <x:c r="E143"/>
      <x:c r="F143"/>
      <x:c r="G143"/>
      <x:c r="H143"/>
      <x:c r="I143"/>
      <x:c r="J143"/>
      <x:c r="K143"/>
      <x:c r="L143"/>
      <x:c r="M143"/>
      <x:c r="N143"/>
      <x:c r="O143"/>
      <x:c r="P143"/>
    </x:row>
    <x:row r="144" ht="30" customHeight="1">
      <x:c r="A144"/>
      <x:c r="B144"/>
      <x:c r="C144"/>
      <x:c r="D144"/>
      <x:c r="E144"/>
      <x:c r="F144"/>
      <x:c r="G144"/>
      <x:c r="H144"/>
      <x:c r="I144"/>
      <x:c r="J144"/>
      <x:c r="K144"/>
      <x:c r="L144"/>
      <x:c r="M144"/>
      <x:c r="N144"/>
      <x:c r="O144"/>
      <x:c r="P144"/>
    </x:row>
    <x:row r="145" ht="30" customHeight="1">
      <x:c r="A145"/>
      <x:c r="B145"/>
      <x:c r="C145"/>
      <x:c r="D145"/>
      <x:c r="E145"/>
      <x:c r="F145"/>
      <x:c r="G145"/>
      <x:c r="H145"/>
      <x:c r="I145"/>
      <x:c r="J145"/>
      <x:c r="K145"/>
      <x:c r="L145"/>
      <x:c r="M145"/>
      <x:c r="N145"/>
      <x:c r="O145"/>
      <x:c r="P145"/>
    </x:row>
    <x:row r="146" ht="30" customHeight="1">
      <x:c r="A146"/>
      <x:c r="B146"/>
      <x:c r="C146"/>
      <x:c r="D146"/>
      <x:c r="E146"/>
      <x:c r="F146"/>
      <x:c r="G146"/>
      <x:c r="H146"/>
      <x:c r="I146"/>
      <x:c r="J146"/>
      <x:c r="K146"/>
      <x:c r="L146"/>
      <x:c r="M146"/>
      <x:c r="N146"/>
      <x:c r="O146"/>
      <x:c r="P146"/>
    </x:row>
    <x:row r="147" ht="30" customHeight="1">
      <x:c r="A147"/>
      <x:c r="B147"/>
      <x:c r="C147"/>
      <x:c r="D147"/>
      <x:c r="E147"/>
      <x:c r="F147"/>
      <x:c r="G147"/>
      <x:c r="H147"/>
      <x:c r="I147"/>
      <x:c r="J147"/>
      <x:c r="K147"/>
      <x:c r="L147"/>
      <x:c r="M147"/>
      <x:c r="N147"/>
      <x:c r="O147"/>
      <x:c r="P147"/>
    </x:row>
    <x:row r="148" ht="30" customHeight="1">
      <x:c r="A148"/>
      <x:c r="B148"/>
      <x:c r="C148"/>
      <x:c r="D148"/>
      <x:c r="E148"/>
      <x:c r="F148"/>
      <x:c r="G148"/>
      <x:c r="H148"/>
      <x:c r="I148"/>
      <x:c r="J148"/>
      <x:c r="K148"/>
      <x:c r="L148"/>
      <x:c r="M148"/>
      <x:c r="N148"/>
      <x:c r="O148"/>
      <x:c r="P148"/>
    </x:row>
    <x:row r="149" ht="30" customHeight="1">
      <x:c r="A149"/>
      <x:c r="B149"/>
      <x:c r="C149"/>
      <x:c r="D149"/>
      <x:c r="E149"/>
      <x:c r="F149"/>
      <x:c r="G149"/>
      <x:c r="H149"/>
      <x:c r="I149"/>
      <x:c r="J149"/>
      <x:c r="K149"/>
      <x:c r="L149"/>
      <x:c r="M149"/>
      <x:c r="N149"/>
      <x:c r="O149"/>
      <x:c r="P149"/>
    </x:row>
    <x:row r="150" ht="30" customHeight="1">
      <x:c r="A150"/>
      <x:c r="B150"/>
      <x:c r="C150"/>
      <x:c r="D150"/>
      <x:c r="E150"/>
      <x:c r="F150"/>
      <x:c r="G150"/>
      <x:c r="H150"/>
      <x:c r="I150"/>
      <x:c r="J150"/>
      <x:c r="K150"/>
      <x:c r="L150"/>
      <x:c r="M150"/>
      <x:c r="N150"/>
      <x:c r="O150"/>
      <x:c r="P150"/>
    </x:row>
    <x:row r="151" ht="30" customHeight="1">
      <x:c r="A151"/>
      <x:c r="B151"/>
      <x:c r="C151"/>
      <x:c r="D151"/>
      <x:c r="E151"/>
      <x:c r="F151"/>
      <x:c r="G151"/>
      <x:c r="H151"/>
      <x:c r="I151"/>
      <x:c r="J151"/>
      <x:c r="K151"/>
      <x:c r="L151"/>
      <x:c r="M151"/>
      <x:c r="N151"/>
      <x:c r="O151"/>
      <x:c r="P151"/>
    </x:row>
    <x:row r="152" ht="30" customHeight="1">
      <x:c r="A152"/>
      <x:c r="B152"/>
      <x:c r="C152"/>
      <x:c r="D152"/>
      <x:c r="E152"/>
      <x:c r="F152"/>
      <x:c r="G152"/>
      <x:c r="H152"/>
      <x:c r="I152"/>
      <x:c r="J152"/>
      <x:c r="K152"/>
      <x:c r="L152"/>
      <x:c r="M152"/>
      <x:c r="N152"/>
      <x:c r="O152"/>
      <x:c r="P152"/>
    </x:row>
    <x:row r="153" ht="30" customHeight="1">
      <x:c r="A153"/>
      <x:c r="B153"/>
      <x:c r="C153"/>
      <x:c r="D153"/>
      <x:c r="E153"/>
      <x:c r="F153"/>
      <x:c r="G153"/>
      <x:c r="H153"/>
      <x:c r="I153"/>
      <x:c r="J153"/>
      <x:c r="K153"/>
      <x:c r="L153"/>
      <x:c r="M153"/>
      <x:c r="N153"/>
      <x:c r="O153"/>
      <x:c r="P153"/>
    </x:row>
    <x:row r="154" ht="30" customHeight="1">
      <x:c r="A154"/>
      <x:c r="B154"/>
      <x:c r="C154"/>
      <x:c r="D154"/>
      <x:c r="E154"/>
      <x:c r="F154"/>
      <x:c r="G154"/>
      <x:c r="H154"/>
      <x:c r="I154"/>
      <x:c r="J154"/>
      <x:c r="K154"/>
      <x:c r="L154"/>
      <x:c r="M154"/>
      <x:c r="N154"/>
      <x:c r="O154"/>
      <x:c r="P154"/>
    </x:row>
    <x:row r="155" ht="30" customHeight="1">
      <x:c r="A155"/>
      <x:c r="B155"/>
      <x:c r="C155"/>
      <x:c r="D155"/>
      <x:c r="E155"/>
      <x:c r="F155"/>
      <x:c r="G155"/>
      <x:c r="H155"/>
      <x:c r="I155"/>
      <x:c r="J155"/>
      <x:c r="K155"/>
      <x:c r="L155"/>
      <x:c r="M155"/>
      <x:c r="N155"/>
      <x:c r="O155"/>
      <x:c r="P155"/>
    </x:row>
    <x:row r="156" ht="30" customHeight="1">
      <x:c r="A156"/>
      <x:c r="B156"/>
      <x:c r="C156"/>
      <x:c r="D156"/>
      <x:c r="E156"/>
      <x:c r="F156"/>
      <x:c r="G156"/>
      <x:c r="H156"/>
      <x:c r="I156"/>
      <x:c r="J156"/>
      <x:c r="K156"/>
      <x:c r="L156"/>
      <x:c r="M156"/>
      <x:c r="N156"/>
      <x:c r="O156"/>
      <x:c r="P156"/>
    </x:row>
    <x:row r="157" ht="30" customHeight="1">
      <x:c r="A157"/>
      <x:c r="B157"/>
      <x:c r="C157"/>
      <x:c r="D157"/>
      <x:c r="E157"/>
      <x:c r="F157"/>
      <x:c r="G157"/>
      <x:c r="H157"/>
      <x:c r="I157"/>
      <x:c r="J157"/>
      <x:c r="K157"/>
      <x:c r="L157"/>
      <x:c r="M157"/>
      <x:c r="N157"/>
      <x:c r="O157"/>
      <x:c r="P157"/>
    </x:row>
  </x:sheetData>
  <x:mergeCells>
    <x:mergeCell ref="A2:R2"/>
    <x:mergeCell ref="A3:R3"/>
  </x:mergeCells>
  <x:conditionalFormatting sqref="C6:C157">
    <x:cfRule type="containsText" dxfId="9" priority="1" operator="containsText" text="优秀"/>
    <x:cfRule type="containsText" dxfId="10" priority="2" operator="containsText" text="稀有"/>
    <x:cfRule type="containsText" dxfId="11" priority="3" operator="containsText" text="史诗"/>
  </x:conditionalFormatting>
  <x:conditionalFormatting sqref="G6:G157">
    <x:cfRule type="containsText" dxfId="12" priority="4" operator="containsText" text="临时"/>
  </x:conditionalFormatting>
  <x:dataValidations count="5">
    <x:dataValidation type="list" sqref="F134:F157">
      <x:formula1>"是,否"</x:formula1>
    </x:dataValidation>
    <x:dataValidation type="list" sqref="G134:G157">
      <x:formula1>"永久,临时"</x:formula1>
    </x:dataValidation>
    <x:dataValidation type="list" sqref="F6:F133">
      <x:formula1>"是,否"</x:formula1>
    </x:dataValidation>
    <x:dataValidation type="list" sqref="G6:G133">
      <x:formula1>"永久,临时"</x:formula1>
    </x:dataValidation>
    <x:dataValidation type="list" sqref="Q6:Q133">
      <x:formula1>"流派组件,共通物品,中立过渡,中立辅助,中立操作"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e16aa456054aa9"/>
  </x:tableParts>
</x:worksheet>
</file>

<file path=xl/worksheets/sheet2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9" hidden="0" customWidth="1"/>
    <x:col min="3" max="3" width="9" hidden="0" customWidth="1"/>
    <x:col min="4" max="4" width="18" hidden="0" customWidth="1"/>
    <x:col min="5" max="5" width="68" hidden="0" customWidth="1"/>
    <x:col min="6" max="6" width="40" hidden="0" customWidth="1"/>
    <x:col min="7" max="7" width="11" hidden="0" customWidth="1"/>
    <x:col min="8" max="8" width="4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遗物设计 · V7</x:v>
      </x:c>
      <x:c r="B2" s="6"/>
      <x:c r="C2" s="6"/>
      <x:c r="D2" s="6"/>
      <x:c r="E2" s="6"/>
      <x:c r="F2" s="6"/>
      <x:c r="G2" s="6"/>
      <x:c r="H2" s="6"/>
    </x:row>
    <x:row r="3" ht="36" customHeight="1">
      <x:c r="A3" s="64" t="str">
        <x:v>61件遗物。均衡阵容按非中立主流派统计；通用遗物仍服务任意满足条件的物品，不新增中立专属奖励。</x:v>
      </x:c>
      <x:c r="B3" s="64"/>
      <x:c r="C3" s="64"/>
      <x:c r="D3" s="64"/>
      <x:c r="E3" s="64"/>
      <x:c r="F3" s="64"/>
      <x:c r="G3" s="64"/>
      <x:c r="H3" s="64"/>
    </x:row>
    <x:row r="4">
      <x:c r="A4" s="9"/>
      <x:c r="B4" s="9"/>
      <x:c r="C4" s="9"/>
      <x:c r="D4" s="9"/>
      <x:c r="E4" s="9"/>
      <x:c r="F4" s="9"/>
      <x:c r="G4" s="9"/>
      <x:c r="H4" s="9"/>
    </x:row>
    <x:row r="5" ht="40" customHeight="1">
      <x:c r="A5" s="123" t="str">
        <x:v>ID</x:v>
      </x:c>
      <x:c r="B5" s="123" t="str">
        <x:v>名称</x:v>
      </x:c>
      <x:c r="C5" s="123" t="str">
        <x:v>品质</x:v>
      </x:c>
      <x:c r="D5" s="123" t="str">
        <x:v>触发时机</x:v>
      </x:c>
      <x:c r="E5" s="123" t="str">
        <x:v>效果</x:v>
      </x:c>
      <x:c r="F5" s="123" t="str">
        <x:v>次数与边界</x:v>
      </x:c>
      <x:c r="G5" s="123" t="str">
        <x:v>主流派</x:v>
      </x:c>
      <x:c r="H5" s="123" t="str">
        <x:v>原表参考</x:v>
      </x:c>
    </x:row>
    <x:row r="6" ht="30" customHeight="1">
      <x:c r="A6" s="128" t="str">
        <x:v>R001</x:v>
      </x:c>
      <x:c r="B6" s="128" t="str">
        <x:v>家常菜谱</x:v>
      </x:c>
      <x:c r="C6" s="128" t="str">
        <x:v>普通</x:v>
      </x:c>
      <x:c r="D6" s="128" t="str">
        <x:v>结算时</x:v>
      </x:c>
      <x:c r="E6" s="128" t="str">
        <x:v>结算时，本回合被烹饪物品增值过的存活食物，各本回合分值+2。</x:v>
      </x:c>
      <x:c r="F6" s="128" t="str">
        <x:v>每件物品每回合限触发1次</x:v>
      </x:c>
      <x:c r="G6" s="128" t="str">
        <x:v>烹饪</x:v>
      </x:c>
      <x:c r="H6" s="128" t="str">
        <x:v>Fanny Pack（增益!D13）</x:v>
      </x:c>
    </x:row>
    <x:row r="7" ht="38" customHeight="1">
      <x:c r="A7" s="134" t="str">
        <x:v>R002</x:v>
      </x:c>
      <x:c r="B7" s="134" t="str">
        <x:v>双份调味</x:v>
      </x:c>
      <x:c r="C7" s="134" t="str">
        <x:v>优秀</x:v>
      </x:c>
      <x:c r="D7" s="134" t="str">
        <x:v>增值时</x:v>
      </x:c>
      <x:c r="E7" s="134" t="str">
        <x:v>烹饪物品使食物的本回合分值增加固定数值时，该次增加量+1。</x:v>
      </x:c>
      <x:c r="F7" s="134" t="str">
        <x:v>每目标最多获益3次；只增强原效果，不另触发增值</x:v>
      </x:c>
      <x:c r="G7" s="134" t="str">
        <x:v>烹饪</x:v>
      </x:c>
      <x:c r="H7" s="134" t="str">
        <x:v>Donut（增益!D8）</x:v>
      </x:c>
    </x:row>
    <x:row r="8" ht="30" customHeight="1">
      <x:c r="A8" s="128" t="str">
        <x:v>R003</x:v>
      </x:c>
      <x:c r="B8" s="128" t="str">
        <x:v>餐后点心</x:v>
      </x:c>
      <x:c r="C8" s="128" t="str">
        <x:v>优秀</x:v>
      </x:c>
      <x:c r="D8" s="128" t="str">
        <x:v>物品被消耗时</x:v>
      </x:c>
      <x:c r="E8" s="128" t="str">
        <x:v>食物被烹饪物品消耗时，生成1份饼干屑。</x:v>
      </x:c>
      <x:c r="F8" s="128" t="str">
        <x:v>每回合最多2份；饼干屑不能触发本遗物</x:v>
      </x:c>
      <x:c r="G8" s="128" t="str">
        <x:v>烹饪</x:v>
      </x:c>
      <x:c r="H8" s="128" t="str">
        <x:v>Douter（增益!D9）</x:v>
      </x:c>
    </x:row>
    <x:row r="9" ht="30" customHeight="1">
      <x:c r="A9" s="134" t="str">
        <x:v>R006</x:v>
      </x:c>
      <x:c r="B9" s="134" t="str">
        <x:v>园艺手套</x:v>
      </x:c>
      <x:c r="C9" s="134" t="str">
        <x:v>普通</x:v>
      </x:c>
      <x:c r="D9" s="134" t="str">
        <x:v>消耗时</x:v>
      </x:c>
      <x:c r="E9" s="134" t="str">
        <x:v>植物消耗水珠时，该植物本回合分值+2。</x:v>
      </x:c>
      <x:c r="F9" s="134" t="str">
        <x:v>每株植物每回合最多获益2次</x:v>
      </x:c>
      <x:c r="G9" s="134" t="str">
        <x:v>种植</x:v>
      </x:c>
      <x:c r="H9" s="134" t="str">
        <x:v>Pumpkin（触发器!D22）</x:v>
      </x:c>
    </x:row>
    <x:row r="10" ht="30" customHeight="1">
      <x:c r="A10" s="128" t="str">
        <x:v>R007</x:v>
      </x:c>
      <x:c r="B10" s="128" t="str">
        <x:v>授粉手册</x:v>
      </x:c>
      <x:c r="C10" s="128" t="str">
        <x:v>优秀</x:v>
      </x:c>
      <x:c r="D10" s="128" t="str">
        <x:v>增值时</x:v>
      </x:c>
      <x:c r="E10" s="128" t="str">
        <x:v>蜜蜂或彩翼蝶成功增值开花植物时，临时生成1份花粉。</x:v>
      </x:c>
      <x:c r="F10" s="128" t="str">
        <x:v>每回合最多3份；每株植物每回合最多1份</x:v>
      </x:c>
      <x:c r="G10" s="128" t="str">
        <x:v>种植</x:v>
      </x:c>
      <x:c r="H10" s="128" t="str">
        <x:v>原创</x:v>
      </x:c>
    </x:row>
    <x:row r="11" ht="38" customHeight="1">
      <x:c r="A11" s="134" t="str">
        <x:v>R008</x:v>
      </x:c>
      <x:c r="B11" s="134" t="str">
        <x:v>雨水桶</x:v>
      </x:c>
      <x:c r="C11" s="134" t="str">
        <x:v>优秀</x:v>
      </x:c>
      <x:c r="D11" s="134" t="str">
        <x:v>生成物品时</x:v>
      </x:c>
      <x:c r="E11" s="134" t="str">
        <x:v>本回合第一次正常生成水珠时，追加生成1颗水珠。</x:v>
      </x:c>
      <x:c r="F11" s="134" t="str">
        <x:v>每回合最多追加生成1颗；追加生成不再次触发生成类效果</x:v>
      </x:c>
      <x:c r="G11" s="134" t="str">
        <x:v>种植</x:v>
      </x:c>
      <x:c r="H11" s="134" t="str">
        <x:v>Waterfall（增益!D55）</x:v>
      </x:c>
    </x:row>
    <x:row r="12" ht="30" customHeight="1">
      <x:c r="A12" s="128" t="str">
        <x:v>R009</x:v>
      </x:c>
      <x:c r="B12" s="128" t="str">
        <x:v>连根相生</x:v>
      </x:c>
      <x:c r="C12" s="128" t="str">
        <x:v>稀有</x:v>
      </x:c>
      <x:c r="D12" s="128" t="str">
        <x:v>结算时</x:v>
      </x:c>
      <x:c r="E12" s="128" t="str">
        <x:v>结算时，植物接触组含至少4件时，该组植物各本回合分值+4。</x:v>
      </x:c>
      <x:c r="F12" s="128" t="str">
        <x:v>每件物品每回合限触发1次</x:v>
      </x:c>
      <x:c r="G12" s="128" t="str">
        <x:v>种植</x:v>
      </x:c>
      <x:c r="H12" s="128" t="str">
        <x:v>Clover（触发器!D40）</x:v>
      </x:c>
    </x:row>
    <x:row r="13" ht="38" customHeight="1">
      <x:c r="A13" s="134" t="str">
        <x:v>R010</x:v>
      </x:c>
      <x:c r="B13" s="134" t="str">
        <x:v>丰收日历</x:v>
      </x:c>
      <x:c r="C13" s="134" t="str">
        <x:v>史诗</x:v>
      </x:c>
      <x:c r="D13" s="134" t="str">
        <x:v>结算结束时</x:v>
      </x:c>
      <x:c r="E13" s="134" t="str">
        <x:v>结算结束时，瓶中至少有3种不同植物时，其中基础分最低的1件成长植物永久基础分+1。</x:v>
      </x:c>
      <x:c r="F13" s="134" t="str">
        <x:v>每回合1件；每实例来自本遗物累计+5封顶</x:v>
      </x:c>
      <x:c r="G13" s="134" t="str">
        <x:v>种植</x:v>
      </x:c>
      <x:c r="H13" s="134" t="str">
        <x:v>Gross Michel（增益!D51）</x:v>
      </x:c>
    </x:row>
    <x:row r="14" ht="38" customHeight="1">
      <x:c r="A14" s="128" t="str">
        <x:v>R011</x:v>
      </x:c>
      <x:c r="B14" s="128" t="str">
        <x:v>加厚草垫</x:v>
      </x:c>
      <x:c r="C14" s="128" t="str">
        <x:v>普通</x:v>
      </x:c>
      <x:c r="D14" s="128" t="str">
        <x:v>结算时</x:v>
      </x:c>
      <x:c r="E14" s="128" t="str">
        <x:v>结算时，母鸡、奶牛、绵羊与雏鸡若与这四种动物中的其他实例接触，其本回合分值+2。</x:v>
      </x:c>
      <x:c r="F14" s="128" t="str">
        <x:v>每只动物每回合限触发1次</x:v>
      </x:c>
      <x:c r="G14" s="128" t="str">
        <x:v>牧场</x:v>
      </x:c>
      <x:c r="H14" s="128" t="str">
        <x:v>原创</x:v>
      </x:c>
    </x:row>
    <x:row r="15" ht="38" customHeight="1">
      <x:c r="A15" s="134" t="str">
        <x:v>R012</x:v>
      </x:c>
      <x:c r="B15" s="134" t="str">
        <x:v>双黄蛋谱</x:v>
      </x:c>
      <x:c r="C15" s="134" t="str">
        <x:v>优秀</x:v>
      </x:c>
      <x:c r="D15" s="134" t="str">
        <x:v>生成物品时</x:v>
      </x:c>
      <x:c r="E15" s="134" t="str">
        <x:v>每回合第一颗正常生成的蛋改为双黄蛋。</x:v>
      </x:c>
      <x:c r="F15" s="134" t="str">
        <x:v>每回合1颗；仍为永久物品，初始孵化进度0；存活结算3次后变为1只雏鸡</x:v>
      </x:c>
      <x:c r="G15" s="134" t="str">
        <x:v>牧场</x:v>
      </x:c>
      <x:c r="H15" s="134" t="str">
        <x:v>Chicken（触发器!D71）</x:v>
      </x:c>
    </x:row>
    <x:row r="16" ht="38" customHeight="1">
      <x:c r="A16" s="128" t="str">
        <x:v>R013</x:v>
      </x:c>
      <x:c r="B16" s="128" t="str">
        <x:v>牧场铃铛</x:v>
      </x:c>
      <x:c r="C16" s="128" t="str">
        <x:v>优秀</x:v>
      </x:c>
      <x:c r="D16" s="128" t="str">
        <x:v>生成物品时</x:v>
      </x:c>
      <x:c r="E16" s="128" t="str">
        <x:v>母鸡、奶牛或绵羊正常生成后，其当前接触的其他母鸡、奶牛、绵羊与雏鸡各本回合分值+1。</x:v>
      </x:c>
      <x:c r="F16" s="128" t="str">
        <x:v>每次最多3个目标；每回合最多响应4次生成；孵化不触发</x:v>
      </x:c>
      <x:c r="G16" s="128" t="str">
        <x:v>牧场</x:v>
      </x:c>
      <x:c r="H16" s="128" t="str">
        <x:v>Donut（增益!D8）</x:v>
      </x:c>
    </x:row>
    <x:row r="17" ht="30" customHeight="1">
      <x:c r="A17" s="134" t="str">
        <x:v>R014</x:v>
      </x:c>
      <x:c r="B17" s="134" t="str">
        <x:v>营养饲料</x:v>
      </x:c>
      <x:c r="C17" s="134" t="str">
        <x:v>稀有</x:v>
      </x:c>
      <x:c r="D17" s="134" t="str">
        <x:v>物品被消耗时</x:v>
      </x:c>
      <x:c r="E17" s="134" t="str">
        <x:v>母鸡或奶牛消耗谷物时，该动物本回合分值+4。</x:v>
      </x:c>
      <x:c r="F17" s="134" t="str">
        <x:v>每只动物每回合最多获益2次</x:v>
      </x:c>
      <x:c r="G17" s="134" t="str">
        <x:v>牧场</x:v>
      </x:c>
      <x:c r="H17" s="134" t="str">
        <x:v>Fanny Pack（增益!D13）</x:v>
      </x:c>
    </x:row>
    <x:row r="18" ht="30" customHeight="1">
      <x:c r="A18" s="128" t="str">
        <x:v>R015</x:v>
      </x:c>
      <x:c r="B18" s="128" t="str">
        <x:v>动物图鉴</x:v>
      </x:c>
      <x:c r="C18" s="128" t="str">
        <x:v>史诗</x:v>
      </x:c>
      <x:c r="D18" s="128" t="str">
        <x:v>结算时</x:v>
      </x:c>
      <x:c r="E18" s="128" t="str">
        <x:v>结算时，瓶中至少有4种不同动物时，冻结分值最高的3件动物结算倍率+50%。</x:v>
      </x:c>
      <x:c r="F18" s="128" t="str">
        <x:v>每回合限触发1次</x:v>
      </x:c>
      <x:c r="G18" s="128" t="str">
        <x:v>牧场</x:v>
      </x:c>
      <x:c r="H18" s="128" t="str">
        <x:v>Rabbit's Foot（增益!D21）</x:v>
      </x:c>
    </x:row>
    <x:row r="19" ht="38" customHeight="1">
      <x:c r="A19" s="134" t="str">
        <x:v>R016</x:v>
      </x:c>
      <x:c r="B19" s="134" t="str">
        <x:v>矿工手套</x:v>
      </x:c>
      <x:c r="C19" s="134" t="str">
        <x:v>普通</x:v>
      </x:c>
      <x:c r="D19" s="134" t="str">
        <x:v>生成时</x:v>
      </x:c>
      <x:c r="E19" s="134" t="str">
        <x:v>矿工镐生成的矿砂，基础分由1改为2。</x:v>
      </x:c>
      <x:c r="F19" s="134" t="str">
        <x:v>只修改该来源的新生成矿砂；不增加产量，不算永久成长</x:v>
      </x:c>
      <x:c r="G19" s="134" t="str">
        <x:v>矿业</x:v>
      </x:c>
      <x:c r="H19" s="134" t="str">
        <x:v>原创</x:v>
      </x:c>
    </x:row>
    <x:row r="20" ht="30" customHeight="1">
      <x:c r="A20" s="128" t="str">
        <x:v>R017</x:v>
      </x:c>
      <x:c r="B20" s="128" t="str">
        <x:v>边角料箱</x:v>
      </x:c>
      <x:c r="C20" s="128" t="str">
        <x:v>优秀</x:v>
      </x:c>
      <x:c r="D20" s="128" t="str">
        <x:v>物品被消耗时</x:v>
      </x:c>
      <x:c r="E20" s="128" t="str">
        <x:v>熔炉消耗铁矿块时，生成1份铁屑。</x:v>
      </x:c>
      <x:c r="F20" s="128" t="str">
        <x:v>每回合最多2份</x:v>
      </x:c>
      <x:c r="G20" s="128" t="str">
        <x:v>矿业</x:v>
      </x:c>
      <x:c r="H20" s="128" t="str">
        <x:v>Smokestack（增益!D25）</x:v>
      </x:c>
    </x:row>
    <x:row r="21" ht="30" customHeight="1">
      <x:c r="A21" s="134" t="str">
        <x:v>R018</x:v>
      </x:c>
      <x:c r="B21" s="134" t="str">
        <x:v>筛矿网</x:v>
      </x:c>
      <x:c r="C21" s="134" t="str">
        <x:v>优秀</x:v>
      </x:c>
      <x:c r="D21" s="134" t="str">
        <x:v>消耗时</x:v>
      </x:c>
      <x:c r="E21" s="134" t="str">
        <x:v>筛矿机消耗矿砂时，直接计分3。</x:v>
      </x:c>
      <x:c r="F21" s="134" t="str">
        <x:v>每回合最多触发4次；不改变产物概率或产量</x:v>
      </x:c>
      <x:c r="G21" s="134" t="str">
        <x:v>矿业</x:v>
      </x:c>
      <x:c r="H21" s="134" t="str">
        <x:v>Map（触发器!D85）</x:v>
      </x:c>
    </x:row>
    <x:row r="22" ht="30" customHeight="1">
      <x:c r="A22" s="128" t="str">
        <x:v>R019</x:v>
      </x:c>
      <x:c r="B22" s="128" t="str">
        <x:v>精炼工艺</x:v>
      </x:c>
      <x:c r="C22" s="128" t="str">
        <x:v>稀有</x:v>
      </x:c>
      <x:c r="D22" s="128" t="str">
        <x:v>生成物品时</x:v>
      </x:c>
      <x:c r="E22" s="128" t="str">
        <x:v>熔炉生成的铁锭基础分由10改为12。</x:v>
      </x:c>
      <x:c r="F22" s="128" t="str">
        <x:v>只修改新生成的铁锭；作为永久基础分保留</x:v>
      </x:c>
      <x:c r="G22" s="128" t="str">
        <x:v>矿业</x:v>
      </x:c>
      <x:c r="H22" s="128" t="str">
        <x:v>原创</x:v>
      </x:c>
    </x:row>
    <x:row r="23" ht="30" customHeight="1">
      <x:c r="A23" s="134" t="str">
        <x:v>R020</x:v>
      </x:c>
      <x:c r="B23" s="134" t="str">
        <x:v>矿脉契约</x:v>
      </x:c>
      <x:c r="C23" s="134" t="str">
        <x:v>史诗</x:v>
      </x:c>
      <x:c r="D23" s="134" t="str">
        <x:v>结算时</x:v>
      </x:c>
      <x:c r="E23" s="134" t="str">
        <x:v>结算时，本回合消耗过至少3件矿石时，所有存活宝石和金属结算倍率+50%。</x:v>
      </x:c>
      <x:c r="F23" s="134" t="str">
        <x:v>每件物品每回合限触发1次；双标签不重复</x:v>
      </x:c>
      <x:c r="G23" s="134" t="str">
        <x:v>矿业</x:v>
      </x:c>
      <x:c r="H23" s="134" t="str">
        <x:v>Museum（触发器!D87）</x:v>
      </x:c>
    </x:row>
    <x:row r="24" ht="38" customHeight="1">
      <x:c r="A24" s="128" t="str">
        <x:v>R022</x:v>
      </x:c>
      <x:c r="B24" s="128" t="str">
        <x:v>冷凝管</x:v>
      </x:c>
      <x:c r="C24" s="128" t="str">
        <x:v>优秀</x:v>
      </x:c>
      <x:c r="D24" s="128" t="str">
        <x:v>生成物品时</x:v>
      </x:c>
      <x:c r="E24" s="128" t="str">
        <x:v>蒸汽锅炉正常生成蒸汽时，追加生成1颗水珠。</x:v>
      </x:c>
      <x:c r="F24" s="128" t="str">
        <x:v>每回合最多2颗；水珠永久保留；追加水珠不再次触发生成类效果</x:v>
      </x:c>
      <x:c r="G24" s="128" t="str">
        <x:v>元素</x:v>
      </x:c>
      <x:c r="H24" s="128" t="str">
        <x:v>Waterfall（增益!D55）</x:v>
      </x:c>
    </x:row>
    <x:row r="25" ht="30" customHeight="1">
      <x:c r="A25" s="134" t="str">
        <x:v>R023</x:v>
      </x:c>
      <x:c r="B25" s="134" t="str">
        <x:v>双芯烛台</x:v>
      </x:c>
      <x:c r="C25" s="134" t="str">
        <x:v>优秀</x:v>
      </x:c>
      <x:c r="D25" s="134" t="str">
        <x:v>结算结束时</x:v>
      </x:c>
      <x:c r="E25" s="134" t="str">
        <x:v>结算结束时，每有1根存活且点亮的蜡烛，直接计分4。</x:v>
      </x:c>
      <x:c r="F25" s="134" t="str">
        <x:v>最多计4根</x:v>
      </x:c>
      <x:c r="G25" s="134" t="str">
        <x:v>元素</x:v>
      </x:c>
      <x:c r="H25" s="134" t="str">
        <x:v>Candle（触发器!D11）</x:v>
      </x:c>
    </x:row>
    <x:row r="26" ht="30" customHeight="1">
      <x:c r="A26" s="128" t="str">
        <x:v>R025</x:v>
      </x:c>
      <x:c r="B26" s="128" t="str">
        <x:v>烟火庆典</x:v>
      </x:c>
      <x:c r="C26" s="128" t="str">
        <x:v>史诗</x:v>
      </x:c>
      <x:c r="D26" s="128" t="str">
        <x:v>结算时</x:v>
      </x:c>
      <x:c r="E26" s="128" t="str">
        <x:v>结算时，所有存活礼花结算倍率+100%。</x:v>
      </x:c>
      <x:c r="F26" s="128" t="str">
        <x:v>每件礼花每回合限触发1次；不延长临时物品存续</x:v>
      </x:c>
      <x:c r="G26" s="128" t="str">
        <x:v>元素</x:v>
      </x:c>
      <x:c r="H26" s="128" t="str">
        <x:v>Firecracker（触发器!D42）</x:v>
      </x:c>
    </x:row>
    <x:row r="27" ht="30" customHeight="1">
      <x:c r="A27" s="134" t="str">
        <x:v>R026</x:v>
      </x:c>
      <x:c r="B27" s="134" t="str">
        <x:v>收据夹</x:v>
      </x:c>
      <x:c r="C27" s="134" t="str">
        <x:v>普通</x:v>
      </x:c>
      <x:c r="D27" s="134" t="str">
        <x:v>直接计分时</x:v>
      </x:c>
      <x:c r="E27" s="134" t="str">
        <x:v>拍卖槌成功消耗商品时，直接计分3。</x:v>
      </x:c>
      <x:c r="F27" s="134" t="str">
        <x:v>每回合最多触发3次</x:v>
      </x:c>
      <x:c r="G27" s="134" t="str">
        <x:v>集市</x:v>
      </x:c>
      <x:c r="H27" s="134" t="str">
        <x:v>Receipt（增益!D22）</x:v>
      </x:c>
    </x:row>
    <x:row r="28" ht="30" customHeight="1">
      <x:c r="A28" s="128" t="str">
        <x:v>R027</x:v>
      </x:c>
      <x:c r="B28" s="128" t="str">
        <x:v>分类货签</x:v>
      </x:c>
      <x:c r="C28" s="128" t="str">
        <x:v>优秀</x:v>
      </x:c>
      <x:c r="D28" s="128" t="str">
        <x:v>结算时</x:v>
      </x:c>
      <x:c r="E28" s="128" t="str">
        <x:v>结算时，瓶中商品每有1种不同名称，所有存活集市物品本回合分值+1。</x:v>
      </x:c>
      <x:c r="F28" s="128" t="str">
        <x:v>最多计4种</x:v>
      </x:c>
      <x:c r="G28" s="128" t="str">
        <x:v>集市</x:v>
      </x:c>
      <x:c r="H28" s="128" t="str">
        <x:v>Fanny Pack（增益!D13）</x:v>
      </x:c>
    </x:row>
    <x:row r="29" ht="30" customHeight="1">
      <x:c r="A29" s="134" t="str">
        <x:v>R030</x:v>
      </x:c>
      <x:c r="B29" s="134" t="str">
        <x:v>市集招牌</x:v>
      </x:c>
      <x:c r="C29" s="134" t="str">
        <x:v>史诗</x:v>
      </x:c>
      <x:c r="D29" s="134" t="str">
        <x:v>结算时</x:v>
      </x:c>
      <x:c r="E29" s="134" t="str">
        <x:v>结算时，本回合拍卖槌消耗过商品时，所有存活集市物品结算倍率+50%。</x:v>
      </x:c>
      <x:c r="F29" s="134" t="str">
        <x:v>每回合限触发1次</x:v>
      </x:c>
      <x:c r="G29" s="134" t="str">
        <x:v>集市</x:v>
      </x:c>
      <x:c r="H29" s="134" t="str">
        <x:v>Blender（增益!D35）</x:v>
      </x:c>
    </x:row>
    <x:row r="30" ht="30" customHeight="1">
      <x:c r="A30" s="128" t="str">
        <x:v>R031</x:v>
      </x:c>
      <x:c r="B30" s="128" t="str">
        <x:v>备用电芯</x:v>
      </x:c>
      <x:c r="C30" s="128" t="str">
        <x:v>普通</x:v>
      </x:c>
      <x:c r="D30" s="128" t="str">
        <x:v>回合开始时</x:v>
      </x:c>
      <x:c r="E30" s="128" t="str">
        <x:v>回合开始时，初始抽取的充能物品各充能+1。</x:v>
      </x:c>
      <x:c r="F30" s="128" t="str">
        <x:v>每件物品每回合限触发1次；不超过5；电源除外</x:v>
      </x:c>
      <x:c r="G30" s="128" t="str">
        <x:v>机械</x:v>
      </x:c>
      <x:c r="H30" s="128" t="str">
        <x:v>Backup Battery（增益!D2）</x:v>
      </x:c>
    </x:row>
    <x:row r="31" ht="30" customHeight="1">
      <x:c r="A31" s="134" t="str">
        <x:v>R032</x:v>
      </x:c>
      <x:c r="B31" s="134" t="str">
        <x:v>能量回执</x:v>
      </x:c>
      <x:c r="C31" s="134" t="str">
        <x:v>优秀</x:v>
      </x:c>
      <x:c r="D31" s="134" t="str">
        <x:v>花费充能时</x:v>
      </x:c>
      <x:c r="E31" s="134" t="str">
        <x:v>每实际花费1充能，直接计分1。</x:v>
      </x:c>
      <x:c r="F31" s="134" t="str">
        <x:v>每回合最多12分；花费电量不计</x:v>
      </x:c>
      <x:c r="G31" s="134" t="str">
        <x:v>机械</x:v>
      </x:c>
      <x:c r="H31" s="134" t="str">
        <x:v>Receipt（增益!D22）</x:v>
      </x:c>
    </x:row>
    <x:row r="32" ht="38" customHeight="1">
      <x:c r="A32" s="128" t="str">
        <x:v>R033</x:v>
      </x:c>
      <x:c r="B32" s="128" t="str">
        <x:v>节能齿轮</x:v>
      </x:c>
      <x:c r="C32" s="128" t="str">
        <x:v>优秀</x:v>
      </x:c>
      <x:c r="D32" s="128" t="str">
        <x:v>花费充能时</x:v>
      </x:c>
      <x:c r="E32" s="128" t="str">
        <x:v>每件充能物品本回合首次花费充能后，该物品充能+1。</x:v>
      </x:c>
      <x:c r="F32" s="128" t="str">
        <x:v>每件物品每回合限触发1次；充能增加不视为花费充能</x:v>
      </x:c>
      <x:c r="G32" s="128" t="str">
        <x:v>机械</x:v>
      </x:c>
      <x:c r="H32" s="128" t="str">
        <x:v>Refrigerator（触发器!D91）</x:v>
      </x:c>
    </x:row>
    <x:row r="33" ht="30" customHeight="1">
      <x:c r="A33" s="134" t="str">
        <x:v>R034</x:v>
      </x:c>
      <x:c r="B33" s="134" t="str">
        <x:v>并联线圈</x:v>
      </x:c>
      <x:c r="C33" s="134" t="str">
        <x:v>稀有</x:v>
      </x:c>
      <x:c r="D33" s="134" t="str">
        <x:v>结算时</x:v>
      </x:c>
      <x:c r="E33" s="134" t="str">
        <x:v>结算时，每件充能物品每剩余1充能，该物品本回合分值+2。</x:v>
      </x:c>
      <x:c r="F33" s="134" t="str">
        <x:v>每件最多计3充能</x:v>
      </x:c>
      <x:c r="G33" s="134" t="str">
        <x:v>机械</x:v>
      </x:c>
      <x:c r="H33" s="134" t="str">
        <x:v>Greenhouse（触发器!D80）</x:v>
      </x:c>
    </x:row>
    <x:row r="34" ht="30" customHeight="1">
      <x:c r="A34" s="128" t="str">
        <x:v>R035</x:v>
      </x:c>
      <x:c r="B34" s="128" t="str">
        <x:v>过载许可证</x:v>
      </x:c>
      <x:c r="C34" s="128" t="str">
        <x:v>史诗</x:v>
      </x:c>
      <x:c r="D34" s="128" t="str">
        <x:v>结算时</x:v>
      </x:c>
      <x:c r="E34" s="128" t="str">
        <x:v>结算时，本回合实际累计花费至少3充能的物品，各本回合分值+10。</x:v>
      </x:c>
      <x:c r="F34" s="128" t="str">
        <x:v>每件物品每回合限触发1次；不增加技能次数</x:v>
      </x:c>
      <x:c r="G34" s="128" t="str">
        <x:v>机械</x:v>
      </x:c>
      <x:c r="H34" s="128" t="str">
        <x:v>Donut（增益!D8）</x:v>
      </x:c>
    </x:row>
    <x:row r="35" ht="30" customHeight="1">
      <x:c r="A35" s="134" t="str">
        <x:v>R036</x:v>
      </x:c>
      <x:c r="B35" s="134" t="str">
        <x:v>悼念花束</x:v>
      </x:c>
      <x:c r="C35" s="134" t="str">
        <x:v>普通</x:v>
      </x:c>
      <x:c r="D35" s="134" t="str">
        <x:v>物品被消耗时</x:v>
      </x:c>
      <x:c r="E35" s="134" t="str">
        <x:v>初始抽取物品本回合第一次被消耗时，直接计分2。</x:v>
      </x:c>
      <x:c r="F35" s="134" t="str">
        <x:v>每件物品每回合限触发1次；每回合最多6件</x:v>
      </x:c>
      <x:c r="G35" s="134" t="str">
        <x:v>灵魂</x:v>
      </x:c>
      <x:c r="H35" s="134" t="str">
        <x:v>Tombstone（增益!D26）</x:v>
      </x:c>
    </x:row>
    <x:row r="36" ht="30" customHeight="1">
      <x:c r="A36" s="128" t="str">
        <x:v>R039</x:v>
      </x:c>
      <x:c r="B36" s="128" t="str">
        <x:v>魂火提灯</x:v>
      </x:c>
      <x:c r="C36" s="128" t="str">
        <x:v>稀有</x:v>
      </x:c>
      <x:c r="D36" s="128" t="str">
        <x:v>结算时</x:v>
      </x:c>
      <x:c r="E36" s="128" t="str">
        <x:v>结算时，本回合消耗过至少2个不同幽灵时，所有存活魂火和灵魂石结算倍率+75%。</x:v>
      </x:c>
      <x:c r="F36" s="128" t="str">
        <x:v>每回合限触发1次</x:v>
      </x:c>
      <x:c r="G36" s="128" t="str">
        <x:v>灵魂</x:v>
      </x:c>
      <x:c r="H36" s="128" t="str">
        <x:v>Tombstone（增益!D26）</x:v>
      </x:c>
    </x:row>
    <x:row r="37" ht="30" customHeight="1">
      <x:c r="A37" s="134" t="str">
        <x:v>R040</x:v>
      </x:c>
      <x:c r="B37" s="134" t="str">
        <x:v>轮回契约</x:v>
      </x:c>
      <x:c r="C37" s="134" t="str">
        <x:v>史诗</x:v>
      </x:c>
      <x:c r="D37" s="134" t="str">
        <x:v>结算时</x:v>
      </x:c>
      <x:c r="E37" s="134" t="str">
        <x:v>结算时，本回合第一件被轮回匣复活且存活的物品结算倍率+100%。</x:v>
      </x:c>
      <x:c r="F37" s="134" t="str">
        <x:v>每回合最多1件；复活不刷新任何次数</x:v>
      </x:c>
      <x:c r="G37" s="134" t="str">
        <x:v>灵魂</x:v>
      </x:c>
      <x:c r="H37" s="134" t="str">
        <x:v>Spell of Rebirth（触发器!D125）</x:v>
      </x:c>
    </x:row>
    <x:row r="38" ht="30" customHeight="1">
      <x:c r="A38" s="128" t="str">
        <x:v>R041</x:v>
      </x:c>
      <x:c r="B38" s="128" t="str">
        <x:v>绒布底座</x:v>
      </x:c>
      <x:c r="C38" s="128" t="str">
        <x:v>普通</x:v>
      </x:c>
      <x:c r="D38" s="128" t="str">
        <x:v>结算时</x:v>
      </x:c>
      <x:c r="E38" s="128" t="str">
        <x:v>结算时，所有存活宝石各本回合分值+1。</x:v>
      </x:c>
      <x:c r="F38" s="128" t="str">
        <x:v>每件物品每回合限触发1次</x:v>
      </x:c>
      <x:c r="G38" s="128" t="str">
        <x:v>宝石</x:v>
      </x:c>
      <x:c r="H38" s="128" t="str">
        <x:v>Amethyst（触发器!D103）</x:v>
      </x:c>
    </x:row>
    <x:row r="39" ht="30" customHeight="1">
      <x:c r="A39" s="134" t="str">
        <x:v>R042</x:v>
      </x:c>
      <x:c r="B39" s="134" t="str">
        <x:v>宝石匣谱</x:v>
      </x:c>
      <x:c r="C39" s="134" t="str">
        <x:v>优秀</x:v>
      </x:c>
      <x:c r="D39" s="134" t="str">
        <x:v>结算时</x:v>
      </x:c>
      <x:c r="E39" s="134" t="str">
        <x:v>结算时，瓶中宝石每有1种不同名称，所有存活共鸣物品本回合分值+1。</x:v>
      </x:c>
      <x:c r="F39" s="134" t="str">
        <x:v>最多计4种</x:v>
      </x:c>
      <x:c r="G39" s="134" t="str">
        <x:v>宝石</x:v>
      </x:c>
      <x:c r="H39" s="134" t="str">
        <x:v>Amethyst（触发器!D103）</x:v>
      </x:c>
    </x:row>
    <x:row r="40" ht="30" customHeight="1">
      <x:c r="A40" s="128" t="str">
        <x:v>R044</x:v>
      </x:c>
      <x:c r="B40" s="128" t="str">
        <x:v>透镜镀膜</x:v>
      </x:c>
      <x:c r="C40" s="128" t="str">
        <x:v>稀有</x:v>
      </x:c>
      <x:c r="D40" s="128" t="str">
        <x:v>结算时</x:v>
      </x:c>
      <x:c r="E40" s="128" t="str">
        <x:v>结算时，镜片读取的比例由50%改为75%。</x:v>
      </x:c>
      <x:c r="F40" s="128" t="str">
        <x:v>只读取冻结分值；仍向下取整</x:v>
      </x:c>
      <x:c r="G40" s="128" t="str">
        <x:v>宝石</x:v>
      </x:c>
      <x:c r="H40" s="128" t="str">
        <x:v>原创</x:v>
      </x:c>
    </x:row>
    <x:row r="41" ht="30" customHeight="1">
      <x:c r="A41" s="134" t="str">
        <x:v>R045</x:v>
      </x:c>
      <x:c r="B41" s="134" t="str">
        <x:v>七彩折射</x:v>
      </x:c>
      <x:c r="C41" s="134" t="str">
        <x:v>史诗</x:v>
      </x:c>
      <x:c r="D41" s="134" t="str">
        <x:v>结算时</x:v>
      </x:c>
      <x:c r="E41" s="134" t="str">
        <x:v>结算时，瓶中至少有5种不同宝石时，所有存活宝石结算倍率+50%。</x:v>
      </x:c>
      <x:c r="F41" s="134" t="str">
        <x:v>每回合限触发1次</x:v>
      </x:c>
      <x:c r="G41" s="134" t="str">
        <x:v>宝石</x:v>
      </x:c>
      <x:c r="H41" s="134" t="str">
        <x:v>Rainbow（触发器!D90）</x:v>
      </x:c>
    </x:row>
    <x:row r="42" ht="38" customHeight="1">
      <x:c r="A42" s="128" t="str">
        <x:v>R046</x:v>
      </x:c>
      <x:c r="B42" s="128" t="str">
        <x:v>磨刀石</x:v>
      </x:c>
      <x:c r="C42" s="128" t="str">
        <x:v>普通</x:v>
      </x:c>
      <x:c r="D42" s="128" t="str">
        <x:v>造成伤害时</x:v>
      </x:c>
      <x:c r="E42" s="128" t="str">
        <x:v>木剑实际造成伤害后，该木剑本回合分值+2。</x:v>
      </x:c>
      <x:c r="F42" s="128" t="str">
        <x:v>每把木剑每回合最多3次；同一目标可重复命中；不增加伤害</x:v>
      </x:c>
      <x:c r="G42" s="128" t="str">
        <x:v>探险</x:v>
      </x:c>
      <x:c r="H42" s="128" t="str">
        <x:v>Sword（触发器!D58）</x:v>
      </x:c>
    </x:row>
    <x:row r="43" ht="30" customHeight="1">
      <x:c r="A43" s="134" t="str">
        <x:v>R047</x:v>
      </x:c>
      <x:c r="B43" s="134" t="str">
        <x:v>备用钥匙圈</x:v>
      </x:c>
      <x:c r="C43" s="134" t="str">
        <x:v>优秀</x:v>
      </x:c>
      <x:c r="D43" s="134" t="str">
        <x:v>回合开始时</x:v>
      </x:c>
      <x:c r="E43" s="134" t="str">
        <x:v>回合开始时，若初始抽取中有宝箱，在其中1个宝箱附近生成1把钥匙。</x:v>
      </x:c>
      <x:c r="F43" s="134" t="str">
        <x:v>每回合1把；永久加入牌库；沿用I097定义</x:v>
      </x:c>
      <x:c r="G43" s="134" t="str">
        <x:v>探险</x:v>
      </x:c>
      <x:c r="H43" s="134" t="str">
        <x:v>Treasure Chest（触发器!D61）</x:v>
      </x:c>
    </x:row>
    <x:row r="44" ht="30" customHeight="1">
      <x:c r="A44" s="128" t="str">
        <x:v>R049</x:v>
      </x:c>
      <x:c r="B44" s="128" t="str">
        <x:v>胜利绶带</x:v>
      </x:c>
      <x:c r="C44" s="128" t="str">
        <x:v>稀有</x:v>
      </x:c>
      <x:c r="D44" s="128" t="str">
        <x:v>击败时</x:v>
      </x:c>
      <x:c r="E44" s="128" t="str">
        <x:v>守门巨像被击败时，所有实际伤害过它且仍存活的木剑各本回合分值+6。</x:v>
      </x:c>
      <x:c r="F44" s="128" t="str">
        <x:v>每剑每回合最多获益2次</x:v>
      </x:c>
      <x:c r="G44" s="128" t="str">
        <x:v>探险</x:v>
      </x:c>
      <x:c r="H44" s="128" t="str">
        <x:v>Gavel（增益!D15）</x:v>
      </x:c>
    </x:row>
    <x:row r="45" ht="30" customHeight="1">
      <x:c r="A45" s="134" t="str">
        <x:v>R050</x:v>
      </x:c>
      <x:c r="B45" s="134" t="str">
        <x:v>探险家勋章</x:v>
      </x:c>
      <x:c r="C45" s="134" t="str">
        <x:v>史诗</x:v>
      </x:c>
      <x:c r="D45" s="134" t="str">
        <x:v>结算时</x:v>
      </x:c>
      <x:c r="E45" s="134" t="str">
        <x:v>结算时，本回合既打开过宝箱又击败过守门巨像时，所有存活探险物品结算倍率+100%。</x:v>
      </x:c>
      <x:c r="F45" s="134" t="str">
        <x:v>每回合限触发1次</x:v>
      </x:c>
      <x:c r="G45" s="134" t="str">
        <x:v>探险</x:v>
      </x:c>
      <x:c r="H45" s="134" t="str">
        <x:v>Scary Mask（增益!D23）</x:v>
      </x:c>
    </x:row>
    <x:row r="46" ht="30" customHeight="1">
      <x:c r="A46" s="128" t="str">
        <x:v>R051</x:v>
      </x:c>
      <x:c r="B46" s="128" t="str">
        <x:v>印泥</x:v>
      </x:c>
      <x:c r="C46" s="128" t="str">
        <x:v>普通</x:v>
      </x:c>
      <x:c r="D46" s="128" t="str">
        <x:v>永久增值时</x:v>
      </x:c>
      <x:c r="E46" s="128" t="str">
        <x:v>印章使信封或纪念票的永久基础分增加时，该次增加量+1。</x:v>
      </x:c>
      <x:c r="F46" s="128" t="str">
        <x:v>每目标每回合限触发1次；合并进印章原效果</x:v>
      </x:c>
      <x:c r="G46" s="128" t="str">
        <x:v>连锁</x:v>
      </x:c>
      <x:c r="H46" s="128" t="str">
        <x:v>原创</x:v>
      </x:c>
    </x:row>
    <x:row r="47" ht="30" customHeight="1">
      <x:c r="A47" s="134" t="str">
        <x:v>R053</x:v>
      </x:c>
      <x:c r="B47" s="134" t="str">
        <x:v>集邮册</x:v>
      </x:c>
      <x:c r="C47" s="134" t="str">
        <x:v>优秀</x:v>
      </x:c>
      <x:c r="D47" s="134" t="str">
        <x:v>物品被消耗时</x:v>
      </x:c>
      <x:c r="E47" s="134" t="str">
        <x:v>邮筒消耗信封时，生成1张纪念票。</x:v>
      </x:c>
      <x:c r="F47" s="134" t="str">
        <x:v>每回合1张；消耗纪念票不能触发</x:v>
      </x:c>
      <x:c r="G47" s="134" t="str">
        <x:v>连锁</x:v>
      </x:c>
      <x:c r="H47" s="134" t="str">
        <x:v>原创</x:v>
      </x:c>
    </x:row>
    <x:row r="48" ht="30" customHeight="1">
      <x:c r="A48" s="128" t="str">
        <x:v>R054</x:v>
      </x:c>
      <x:c r="B48" s="128" t="str">
        <x:v>接力奖章</x:v>
      </x:c>
      <x:c r="C48" s="128" t="str">
        <x:v>稀有</x:v>
      </x:c>
      <x:c r="D48" s="128" t="str">
        <x:v>结算时</x:v>
      </x:c>
      <x:c r="E48" s="128" t="str">
        <x:v>结算时，本回合成功增值过至少2件物品的接力棒，结算倍率+100%。</x:v>
      </x:c>
      <x:c r="F48" s="128" t="str">
        <x:v>每接力棒1次</x:v>
      </x:c>
      <x:c r="G48" s="128" t="str">
        <x:v>连锁</x:v>
      </x:c>
      <x:c r="H48" s="128" t="str">
        <x:v>Cave（触发器!D13）</x:v>
      </x:c>
    </x:row>
    <x:row r="49" ht="30" customHeight="1">
      <x:c r="A49" s="134" t="str">
        <x:v>R056</x:v>
      </x:c>
      <x:c r="B49" s="134" t="str">
        <x:v>旧照片</x:v>
      </x:c>
      <x:c r="C49" s="134" t="str">
        <x:v>普通</x:v>
      </x:c>
      <x:c r="D49" s="134" t="str">
        <x:v>结算时</x:v>
      </x:c>
      <x:c r="E49" s="134" t="str">
        <x:v>结算时，永久基础分高于该形态初始基础分的存活物品，各本回合分值+2。</x:v>
      </x:c>
      <x:c r="F49" s="134" t="str">
        <x:v>每件物品每回合限触发1次</x:v>
      </x:c>
      <x:c r="G49" s="134" t="str">
        <x:v>结算</x:v>
      </x:c>
      <x:c r="H49" s="134" t="str">
        <x:v>Camera（触发器!D69）</x:v>
      </x:c>
    </x:row>
    <x:row r="50" ht="38" customHeight="1">
      <x:c r="A50" s="128" t="str">
        <x:v>R060</x:v>
      </x:c>
      <x:c r="B50" s="128" t="str">
        <x:v>时代藏品</x:v>
      </x:c>
      <x:c r="C50" s="128" t="str">
        <x:v>史诗</x:v>
      </x:c>
      <x:c r="D50" s="128" t="str">
        <x:v>结算时</x:v>
      </x:c>
      <x:c r="E50" s="128" t="str">
        <x:v>结算时，至少3件存活物品具有永久基础分成长增量时，所有存活成长物品结算倍率+50%。</x:v>
      </x:c>
      <x:c r="F50" s="128" t="str">
        <x:v>每回合限触发1次</x:v>
      </x:c>
      <x:c r="G50" s="128" t="str">
        <x:v>结算</x:v>
      </x:c>
      <x:c r="H50" s="128" t="str">
        <x:v>Hourglass（增益!D39）</x:v>
      </x:c>
    </x:row>
    <x:row r="51" ht="30" customHeight="1">
      <x:c r="A51" s="134" t="str">
        <x:v>R061</x:v>
      </x:c>
      <x:c r="B51" s="134" t="str">
        <x:v>标准刻度</x:v>
      </x:c>
      <x:c r="C51" s="134" t="str">
        <x:v>普通</x:v>
      </x:c>
      <x:c r="D51" s="134" t="str">
        <x:v>结算时</x:v>
      </x:c>
      <x:c r="E51" s="134" t="str">
        <x:v>结算时，所有初始抽取且存活的物品，各本回合分值+1。</x:v>
      </x:c>
      <x:c r="F51" s="134" t="str">
        <x:v>每件物品每回合限触发1次</x:v>
      </x:c>
      <x:c r="G51" s="134" t="str">
        <x:v>通用</x:v>
      </x:c>
      <x:c r="H51" s="134" t="str">
        <x:v>原创</x:v>
      </x:c>
    </x:row>
    <x:row r="52" ht="38" customHeight="1">
      <x:c r="A52" s="128" t="str">
        <x:v>R062</x:v>
      </x:c>
      <x:c r="B52" s="128" t="str">
        <x:v>新品收据</x:v>
      </x:c>
      <x:c r="C52" s="128" t="str">
        <x:v>普通</x:v>
      </x:c>
      <x:c r="D52" s="128" t="str">
        <x:v>生成物品时</x:v>
      </x:c>
      <x:c r="E52" s="128" t="str">
        <x:v>每正常生成1件永久物品，直接计分1。</x:v>
      </x:c>
      <x:c r="F52" s="128" t="str">
        <x:v>每回合最多6分；临时产物、追加生成、孵化及其他永久变形均不计</x:v>
      </x:c>
      <x:c r="G52" s="128" t="str">
        <x:v>通用</x:v>
      </x:c>
      <x:c r="H52" s="128" t="str">
        <x:v>Receipt（增益!D22）</x:v>
      </x:c>
    </x:row>
    <x:row r="53" ht="30" customHeight="1">
      <x:c r="A53" s="134" t="str">
        <x:v>R063</x:v>
      </x:c>
      <x:c r="B53" s="134" t="str">
        <x:v>圆形徽章</x:v>
      </x:c>
      <x:c r="C53" s="134" t="str">
        <x:v>普通</x:v>
      </x:c>
      <x:c r="D53" s="134" t="str">
        <x:v>结算时</x:v>
      </x:c>
      <x:c r="E53" s="134" t="str">
        <x:v>结算时，标准形状为圆形的存活物品，各本回合分值+2。</x:v>
      </x:c>
      <x:c r="F53" s="134" t="str">
        <x:v>每件物品每回合限触发1次</x:v>
      </x:c>
      <x:c r="G53" s="134" t="str">
        <x:v>通用</x:v>
      </x:c>
      <x:c r="H53" s="134" t="str">
        <x:v>原创</x:v>
      </x:c>
    </x:row>
    <x:row r="54" ht="30" customHeight="1">
      <x:c r="A54" s="128" t="str">
        <x:v>R065</x:v>
      </x:c>
      <x:c r="B54" s="128" t="str">
        <x:v>混搭布袋</x:v>
      </x:c>
      <x:c r="C54" s="128" t="str">
        <x:v>优秀</x:v>
      </x:c>
      <x:c r="D54" s="128" t="str">
        <x:v>结算时</x:v>
      </x:c>
      <x:c r="E54" s="128" t="str">
        <x:v>结算时，瓶中至少有4种标准形状时，所有初始抽取且存活的物品，各本回合分值+2。</x:v>
      </x:c>
      <x:c r="F54" s="128" t="str">
        <x:v>每件物品每回合限触发1次</x:v>
      </x:c>
      <x:c r="G54" s="128" t="str">
        <x:v>通用</x:v>
      </x:c>
      <x:c r="H54" s="128" t="str">
        <x:v>Disguise（触发器!D77）</x:v>
      </x:c>
    </x:row>
    <x:row r="55" ht="30" customHeight="1">
      <x:c r="A55" s="134" t="str">
        <x:v>R066</x:v>
      </x:c>
      <x:c r="B55" s="134" t="str">
        <x:v>普通奇迹</x:v>
      </x:c>
      <x:c r="C55" s="134" t="str">
        <x:v>优秀</x:v>
      </x:c>
      <x:c r="D55" s="134" t="str">
        <x:v>结算时</x:v>
      </x:c>
      <x:c r="E55" s="134" t="str">
        <x:v>结算时，普通品质且存活的物品，各本回合分值+3。</x:v>
      </x:c>
      <x:c r="F55" s="134" t="str">
        <x:v>每件物品每回合限触发1次</x:v>
      </x:c>
      <x:c r="G55" s="134" t="str">
        <x:v>通用</x:v>
      </x:c>
      <x:c r="H55" s="134" t="str">
        <x:v>原创</x:v>
      </x:c>
    </x:row>
    <x:row r="56" ht="38" customHeight="1">
      <x:c r="A56" s="128" t="str">
        <x:v>R067</x:v>
      </x:c>
      <x:c r="B56" s="128" t="str">
        <x:v>孤品展柜</x:v>
      </x:c>
      <x:c r="C56" s="128" t="str">
        <x:v>稀有</x:v>
      </x:c>
      <x:c r="D56" s="128" t="str">
        <x:v>结算时</x:v>
      </x:c>
      <x:c r="E56" s="128" t="str">
        <x:v>结算时，名称在瓶中仅出现1次的物品，结算倍率+25%。</x:v>
      </x:c>
      <x:c r="F56" s="128" t="str">
        <x:v>每件物品每回合限触发1次；牌库里的同名物品不计</x:v>
      </x:c>
      <x:c r="G56" s="128" t="str">
        <x:v>通用</x:v>
      </x:c>
      <x:c r="H56" s="128" t="str">
        <x:v>Deodorant（增益!D47）</x:v>
      </x:c>
    </x:row>
    <x:row r="57" ht="30" customHeight="1">
      <x:c r="A57" s="134" t="str">
        <x:v>R068</x:v>
      </x:c>
      <x:c r="B57" s="134" t="str">
        <x:v>结伴绳结</x:v>
      </x:c>
      <x:c r="C57" s="134" t="str">
        <x:v>优秀</x:v>
      </x:c>
      <x:c r="D57" s="134" t="str">
        <x:v>结算时</x:v>
      </x:c>
      <x:c r="E57" s="134" t="str">
        <x:v>结算时，恰好接触1件其他物品的物品，各本回合分值+4。</x:v>
      </x:c>
      <x:c r="F57" s="134" t="str">
        <x:v>每件物品每回合限触发1次</x:v>
      </x:c>
      <x:c r="G57" s="134" t="str">
        <x:v>通用</x:v>
      </x:c>
      <x:c r="H57" s="134" t="str">
        <x:v>原创</x:v>
      </x:c>
    </x:row>
    <x:row r="58" ht="30" customHeight="1">
      <x:c r="A58" s="128" t="str">
        <x:v>R069</x:v>
      </x:c>
      <x:c r="B58" s="128" t="str">
        <x:v>拥挤奖券</x:v>
      </x:c>
      <x:c r="C58" s="128" t="str">
        <x:v>稀有</x:v>
      </x:c>
      <x:c r="D58" s="128" t="str">
        <x:v>结算时</x:v>
      </x:c>
      <x:c r="E58" s="128" t="str">
        <x:v>结算时，瓶中至少有24件物品时，本回合生成且存活的物品，各本回合分值+2。</x:v>
      </x:c>
      <x:c r="F58" s="128" t="str">
        <x:v>每件物品每回合限触发1次；永久和临时产物都计</x:v>
      </x:c>
      <x:c r="G58" s="128" t="str">
        <x:v>通用</x:v>
      </x:c>
      <x:c r="H58" s="128" t="str">
        <x:v>原创</x:v>
      </x:c>
    </x:row>
    <x:row r="59" ht="30" customHeight="1">
      <x:c r="A59" s="134" t="str">
        <x:v>R070</x:v>
      </x:c>
      <x:c r="B59" s="134" t="str">
        <x:v>精选名册</x:v>
      </x:c>
      <x:c r="C59" s="134" t="str">
        <x:v>稀有</x:v>
      </x:c>
      <x:c r="D59" s="134" t="str">
        <x:v>结算时</x:v>
      </x:c>
      <x:c r="E59" s="134" t="str">
        <x:v>结算时，瓶中不超过12件物品时，所有存活物品结算倍率+25%。</x:v>
      </x:c>
      <x:c r="F59" s="134" t="str">
        <x:v>每件物品每回合限触发1次；不修改初始抽取规则</x:v>
      </x:c>
      <x:c r="G59" s="134" t="str">
        <x:v>通用</x:v>
      </x:c>
      <x:c r="H59" s="134" t="str">
        <x:v>Deodorant（增益!D47）</x:v>
      </x:c>
    </x:row>
    <x:row r="60" ht="30" customHeight="1">
      <x:c r="A60" s="128" t="str">
        <x:v>R072</x:v>
      </x:c>
      <x:c r="B60" s="128" t="str">
        <x:v>最后一页</x:v>
      </x:c>
      <x:c r="C60" s="128" t="str">
        <x:v>稀有</x:v>
      </x:c>
      <x:c r="D60" s="128" t="str">
        <x:v>结算时</x:v>
      </x:c>
      <x:c r="E60" s="128" t="str">
        <x:v>结算时，每5回合中的第5回合，所有初始抽取且存活的物品，各本回合分值+3。</x:v>
      </x:c>
      <x:c r="F60" s="128" t="str">
        <x:v>每件物品每回合限触发1次；不改变目标检查时机</x:v>
      </x:c>
      <x:c r="G60" s="128" t="str">
        <x:v>通用</x:v>
      </x:c>
      <x:c r="H60" s="128" t="str">
        <x:v>Winner's Cup（增益!D30）</x:v>
      </x:c>
    </x:row>
    <x:row r="61" ht="30" customHeight="1">
      <x:c r="A61" s="134" t="str">
        <x:v>R074</x:v>
      </x:c>
      <x:c r="B61" s="134" t="str">
        <x:v>广交朋友</x:v>
      </x:c>
      <x:c r="C61" s="134" t="str">
        <x:v>优秀</x:v>
      </x:c>
      <x:c r="D61" s="134" t="str">
        <x:v>结算时</x:v>
      </x:c>
      <x:c r="E61" s="134" t="str">
        <x:v>结算时，本回合接触过至少5个不同实例的存活物品，各本回合分值+3。</x:v>
      </x:c>
      <x:c r="F61" s="134" t="str">
        <x:v>每件物品每回合限触发1次；不检查摇晃力度</x:v>
      </x:c>
      <x:c r="G61" s="134" t="str">
        <x:v>通用</x:v>
      </x:c>
      <x:c r="H61" s="134" t="str">
        <x:v>原创</x:v>
      </x:c>
    </x:row>
    <x:row r="62" ht="30" customHeight="1">
      <x:c r="A62" s="128" t="str">
        <x:v>R075</x:v>
      </x:c>
      <x:c r="B62" s="128" t="str">
        <x:v>熟面孔</x:v>
      </x:c>
      <x:c r="C62" s="128" t="str">
        <x:v>优秀</x:v>
      </x:c>
      <x:c r="D62" s="128" t="str">
        <x:v>结算时</x:v>
      </x:c>
      <x:c r="E62" s="128" t="str">
        <x:v>结算时，本回合接触过至少2件与自身同名物品的存活物品，各本回合分值+4。</x:v>
      </x:c>
      <x:c r="F62" s="128" t="str">
        <x:v>每件物品每回合限触发1次</x:v>
      </x:c>
      <x:c r="G62" s="128" t="str">
        <x:v>通用</x:v>
      </x:c>
      <x:c r="H62" s="128" t="str">
        <x:v>Clover（触发器!D40）</x:v>
      </x:c>
    </x:row>
    <x:row r="63" ht="30" customHeight="1">
      <x:c r="A63" s="134" t="str">
        <x:v>R076</x:v>
      </x:c>
      <x:c r="B63" s="134" t="str">
        <x:v>收官红利</x:v>
      </x:c>
      <x:c r="C63" s="134" t="str">
        <x:v>史诗</x:v>
      </x:c>
      <x:c r="D63" s="134" t="str">
        <x:v>结算结束时</x:v>
      </x:c>
      <x:c r="E63" s="134" t="str">
        <x:v>结算结束时，若冻结时锁定的直接计分池E至少为30，直接计分15。</x:v>
      </x:c>
      <x:c r="F63" s="134" t="str">
        <x:v>每回合限触发1次；自身15分不计入条件</x:v>
      </x:c>
      <x:c r="G63" s="134" t="str">
        <x:v>通用</x:v>
      </x:c>
      <x:c r="H63" s="134" t="str">
        <x:v>原创</x:v>
      </x:c>
    </x:row>
    <x:row r="64" ht="38" customHeight="1">
      <x:c r="A64" s="128" t="str">
        <x:v>R077</x:v>
      </x:c>
      <x:c r="B64" s="128" t="str">
        <x:v>成长档案</x:v>
      </x:c>
      <x:c r="C64" s="128" t="str">
        <x:v>稀有</x:v>
      </x:c>
      <x:c r="D64" s="128" t="str">
        <x:v>结算结束时</x:v>
      </x:c>
      <x:c r="E64" s="128" t="str">
        <x:v>结算结束时，本回合至少3个不同实例成功获得永久基础分成长时，直接计分12。</x:v>
      </x:c>
      <x:c r="F64" s="128" t="str">
        <x:v>每回合限触发1次；孵化进度增加、孵化及其他变形均不算基础分成长</x:v>
      </x:c>
      <x:c r="G64" s="128" t="str">
        <x:v>通用</x:v>
      </x:c>
      <x:c r="H64" s="128" t="str">
        <x:v>Growth Serum（增益!D52）</x:v>
      </x:c>
    </x:row>
    <x:row r="65" ht="38" customHeight="1">
      <x:c r="A65" s="134" t="str">
        <x:v>R078</x:v>
      </x:c>
      <x:c r="B65" s="134" t="str">
        <x:v>均衡阵容</x:v>
      </x:c>
      <x:c r="C65" s="134" t="str">
        <x:v>稀有</x:v>
      </x:c>
      <x:c r="D65" s="134" t="str">
        <x:v>结算时</x:v>
      </x:c>
      <x:c r="E65" s="134" t="str">
        <x:v>结算时，初始抽取且存活的物品覆盖至少6个非中立主流派时，所有初始抽取且存活的物品各本回合分值+3。</x:v>
      </x:c>
      <x:c r="F65" s="134" t="str">
        <x:v>中立不计入流派种类；满足条件后中立物品也享受加分；每件每回合限触发1次</x:v>
      </x:c>
      <x:c r="G65" s="134" t="str">
        <x:v>通用</x:v>
      </x:c>
      <x:c r="H65" s="134" t="str">
        <x:v>原创</x:v>
      </x:c>
    </x:row>
    <x:row r="66" ht="38" customHeight="1">
      <x:c r="A66" s="128" t="str">
        <x:v>R080</x:v>
      </x:c>
      <x:c r="B66" s="128" t="str">
        <x:v>接触见证</x:v>
      </x:c>
      <x:c r="C66" s="128" t="str">
        <x:v>史诗</x:v>
      </x:c>
      <x:c r="D66" s="128" t="str">
        <x:v>结算时</x:v>
      </x:c>
      <x:c r="E66" s="128" t="str">
        <x:v>结算时，本回合发生过消耗、生成、增值三类成功事件时，所有初始抽取且存活的物品，各本回合分值+4。</x:v>
      </x:c>
      <x:c r="F66" s="128" t="str">
        <x:v>每件物品每回合限触发1次；变形不算消耗或生成</x:v>
      </x:c>
      <x:c r="G66" s="128" t="str">
        <x:v>通用</x:v>
      </x:c>
      <x:c r="H66" s="128" t="str">
        <x:v>原创</x:v>
      </x:c>
    </x:row>
    <x:row r="67" ht="38" customHeight="1">
      <x:c r="A67"/>
      <x:c r="B67"/>
      <x:c r="C67"/>
      <x:c r="D67"/>
      <x:c r="E67"/>
      <x:c r="F67"/>
      <x:c r="G67"/>
      <x:c r="H67"/>
    </x:row>
    <x:row r="68" ht="30" customHeight="1">
      <x:c r="A68"/>
      <x:c r="B68"/>
      <x:c r="C68"/>
      <x:c r="D68"/>
      <x:c r="E68"/>
      <x:c r="F68"/>
      <x:c r="G68"/>
      <x:c r="H68"/>
    </x:row>
    <x:row r="69" ht="30" customHeight="1">
      <x:c r="A69"/>
      <x:c r="B69"/>
      <x:c r="C69"/>
      <x:c r="D69"/>
      <x:c r="E69"/>
      <x:c r="F69"/>
      <x:c r="G69"/>
      <x:c r="H69"/>
    </x:row>
    <x:row r="70" ht="30" customHeight="1">
      <x:c r="A70"/>
      <x:c r="B70"/>
      <x:c r="C70"/>
      <x:c r="D70"/>
      <x:c r="E70"/>
      <x:c r="F70"/>
      <x:c r="G70"/>
      <x:c r="H70"/>
    </x:row>
    <x:row r="71" ht="30" customHeight="1">
      <x:c r="A71"/>
      <x:c r="B71"/>
      <x:c r="C71"/>
      <x:c r="D71"/>
      <x:c r="E71"/>
      <x:c r="F71"/>
      <x:c r="G71"/>
      <x:c r="H71"/>
    </x:row>
    <x:row r="72" ht="38" customHeight="1">
      <x:c r="A72"/>
      <x:c r="B72"/>
      <x:c r="C72"/>
      <x:c r="D72"/>
      <x:c r="E72"/>
      <x:c r="F72"/>
      <x:c r="G72"/>
      <x:c r="H72"/>
    </x:row>
    <x:row r="73" ht="30" customHeight="1">
      <x:c r="A73"/>
      <x:c r="B73"/>
      <x:c r="C73"/>
      <x:c r="D73"/>
      <x:c r="E73"/>
      <x:c r="F73"/>
      <x:c r="G73"/>
      <x:c r="H73"/>
    </x:row>
    <x:row r="74" ht="30" customHeight="1">
      <x:c r="A74"/>
      <x:c r="B74"/>
      <x:c r="C74"/>
      <x:c r="D74"/>
      <x:c r="E74"/>
      <x:c r="F74"/>
      <x:c r="G74"/>
      <x:c r="H74"/>
    </x:row>
    <x:row r="75" ht="30" customHeight="1">
      <x:c r="A75"/>
      <x:c r="B75"/>
      <x:c r="C75"/>
      <x:c r="D75"/>
      <x:c r="E75"/>
      <x:c r="F75"/>
      <x:c r="G75"/>
      <x:c r="H75"/>
    </x:row>
    <x:row r="76" ht="30" customHeight="1">
      <x:c r="A76"/>
      <x:c r="B76"/>
      <x:c r="C76"/>
      <x:c r="D76"/>
      <x:c r="E76"/>
      <x:c r="F76"/>
      <x:c r="G76"/>
      <x:c r="H76"/>
    </x:row>
    <x:row r="77" ht="30" customHeight="1">
      <x:c r="A77"/>
      <x:c r="B77"/>
      <x:c r="C77"/>
      <x:c r="D77"/>
      <x:c r="E77"/>
      <x:c r="F77"/>
      <x:c r="G77"/>
      <x:c r="H77"/>
    </x:row>
    <x:row r="78" ht="30" customHeight="1">
      <x:c r="A78"/>
      <x:c r="B78"/>
      <x:c r="C78"/>
      <x:c r="D78"/>
      <x:c r="E78"/>
      <x:c r="F78"/>
      <x:c r="G78"/>
      <x:c r="H78"/>
    </x:row>
    <x:row r="79" ht="30" customHeight="1">
      <x:c r="A79"/>
      <x:c r="B79"/>
      <x:c r="C79"/>
      <x:c r="D79"/>
      <x:c r="E79"/>
      <x:c r="F79"/>
      <x:c r="G79"/>
      <x:c r="H79"/>
    </x:row>
    <x:row r="80" ht="30" customHeight="1">
      <x:c r="A80"/>
      <x:c r="B80"/>
      <x:c r="C80"/>
      <x:c r="D80"/>
      <x:c r="E80"/>
      <x:c r="F80"/>
      <x:c r="G80"/>
      <x:c r="H80"/>
    </x:row>
    <x:row r="81" ht="30" customHeight="1">
      <x:c r="A81"/>
      <x:c r="B81"/>
      <x:c r="C81"/>
      <x:c r="D81"/>
      <x:c r="E81"/>
      <x:c r="F81"/>
      <x:c r="G81"/>
      <x:c r="H81"/>
    </x:row>
    <x:row r="82" ht="30" customHeight="1">
      <x:c r="A82"/>
      <x:c r="B82"/>
      <x:c r="C82"/>
      <x:c r="D82"/>
      <x:c r="E82"/>
      <x:c r="F82"/>
      <x:c r="G82"/>
      <x:c r="H82"/>
    </x:row>
    <x:row r="83" ht="38" customHeight="1">
      <x:c r="A83"/>
      <x:c r="B83"/>
      <x:c r="C83"/>
      <x:c r="D83"/>
      <x:c r="E83"/>
      <x:c r="F83"/>
      <x:c r="G83"/>
      <x:c r="H83"/>
    </x:row>
    <x:row r="84" ht="30" customHeight="1">
      <x:c r="A84"/>
      <x:c r="B84"/>
      <x:c r="C84"/>
      <x:c r="D84"/>
      <x:c r="E84"/>
      <x:c r="F84"/>
      <x:c r="G84"/>
      <x:c r="H84"/>
    </x:row>
    <x:row r="85" ht="38" customHeight="1">
      <x:c r="A85"/>
      <x:c r="B85"/>
      <x:c r="C85"/>
      <x:c r="D85"/>
      <x:c r="E85"/>
      <x:c r="F85"/>
      <x:c r="G85"/>
      <x:c r="H85"/>
    </x:row>
  </x:sheetData>
  <x:mergeCells>
    <x:mergeCell ref="A2:H2"/>
    <x:mergeCell ref="A3:H3"/>
  </x:mergeCells>
  <x:conditionalFormatting sqref="C6:C85">
    <x:cfRule type="containsText" dxfId="3" priority="1" operator="containsText" text="稀有"/>
    <x:cfRule type="containsText" dxfId="4" priority="2" operator="containsText" text="史诗"/>
    <x:cfRule type="containsText" dxfId="5" priority="3" operator="containsText" text="优秀"/>
  </x:conditionalFormatting>
  <x:pageMargins left="0.7" right="0.7" top="0.75" bottom="0.75" header="0.3" footer="0.3"/>
  <x:tableParts count="1">
    <x:tablePart xmlns:r="http://schemas.openxmlformats.org/officeDocument/2006/relationships" r:id="R1d8d0c23426d451f"/>
  </x:tableParts>
</x:worksheet>
</file>

<file path=xl/worksheets/sheet3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2" hidden="0" customWidth="1"/>
    <x:col min="2" max="2" width="28" hidden="0" customWidth="1"/>
    <x:col min="3" max="3" width="34" hidden="0" customWidth="1"/>
    <x:col min="4" max="4" width="34" hidden="0" customWidth="1"/>
    <x:col min="5" max="5" width="25" hidden="0" customWidth="1"/>
    <x:col min="6" max="6" width="39" hidden="0" customWidth="1"/>
    <x:col min="7" max="7" width="63" hidden="0" customWidth="1"/>
    <x:col min="8" max="8" width="47" hidden="0" customWidth="1"/>
    <x:col min="9" max="9" width="49" hidden="0" customWidth="1"/>
    <x:col min="10" max="10" width="37" hidden="0" customWidth="1"/>
    <x:col min="11" max="11" width="62" hidden="0" customWidth="1"/>
    <x:col min="12" max="12" width="4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6" t="str">
        <x:v>12套主题路线与中立过渡 · V7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3" ht="36" customHeight="1">
      <x:c r="A3" s="64" t="str">
        <x:v>共通物品保留主流派，只按原有标签和效果工作；中立用于过渡、基础辅助或操作取舍，不要求每套阵容都携带。</x:v>
      </x:c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</x:row>
    <x:row r="4">
      <x:c r="A4" s="9"/>
      <x:c r="B4" s="9"/>
      <x:c r="C4" s="9"/>
      <x:c r="D4" s="9"/>
      <x:c r="E4" s="9"/>
      <x:c r="F4" s="9"/>
      <x:c r="G4" s="9"/>
      <x:c r="H4" s="9"/>
      <x:c r="I4" s="9"/>
      <x:c r="J4" s="9"/>
      <x:c r="K4" s="9"/>
      <x:c r="L4" s="9"/>
    </x:row>
    <x:row r="5" ht="40" customHeight="1">
      <x:c r="A5" s="123" t="str">
        <x:v>流派</x:v>
      </x:c>
      <x:c r="B5" s="123" t="str">
        <x:v>得分方式</x:v>
      </x:c>
      <x:c r="C5" s="123" t="str">
        <x:v>起步组件</x:v>
      </x:c>
      <x:c r="D5" s="123" t="str">
        <x:v>中期组件</x:v>
      </x:c>
      <x:c r="E5" s="123" t="str">
        <x:v>核心</x:v>
      </x:c>
      <x:c r="F5" s="123" t="str">
        <x:v>推荐遗物</x:v>
      </x:c>
      <x:c r="G5" s="123" t="str">
        <x:v>玩家如何安排接触</x:v>
      </x:c>
      <x:c r="H5" s="123" t="str">
        <x:v>跨流派搭配</x:v>
      </x:c>
      <x:c r="I5" s="123" t="str">
        <x:v>代价与冲突</x:v>
      </x:c>
      <x:c r="J5" s="123" t="str">
        <x:v>16件样本比例</x:v>
      </x:c>
      <x:c r="K5" s="123" t="str">
        <x:v>局部算例</x:v>
      </x:c>
      <x:c r="L5" s="123" t="str">
        <x:v>首测候选</x:v>
      </x:c>
    </x:row>
    <x:row r="6" ht="52" customHeight="1">
      <x:c r="A6" s="128" t="str">
        <x:v>烹饪</x:v>
      </x:c>
      <x:c r="B6" s="128" t="str">
        <x:v>将食材加工为永久餐食，或消耗食物直接计分</x:v>
      </x:c>
      <x:c r="C6" s="128" t="str">
        <x:v>平底锅、盐罐、奶酪、雨云</x:v>
      </x:c>
      <x:c r="D6" s="128" t="str">
        <x:v>葡萄藤、麦田、饕餮嘴</x:v>
      </x:c>
      <x:c r="E6" s="128" t="str">
        <x:v>宴会钟</x:v>
      </x:c>
      <x:c r="F6" s="128" t="str">
        <x:v>家常菜谱、餐后点心、双份调味</x:v>
      </x:c>
      <x:c r="G6" s="128" t="str">
        <x:v>用雨云与葡萄藤或麦田持续补食材。热餐可保留配餐或由拍卖槌出售；饕餮嘴直接处理食物。只有永久产生来源与消费出口都能运转，才有续航。</x:v>
      </x:c>
      <x:c r="H6" s="128" t="str">
        <x:v>种植提供水果、牧场提供牛奶与蛋，集市消耗餐食直接计分</x:v>
      </x:c>
      <x:c r="I6" s="128" t="str">
        <x:v>平底锅只把食材一换一变成热餐，不减少牌库数量；无限制加工会积累热餐，需配置消费出口。不要为一次性面包消耗误判持续供给。</x:v>
      </x:c>
      <x:c r="J6" s="128" t="str">
        <x:v>供给4、食材4、加工2、调味2、消费2、辅助2</x:v>
      </x:c>
      <x:c r="K6" s="128" t="str">
        <x:v>面包被平底锅消耗，生成基础分8的热餐；面包被消耗时，直接计分4，合计12。永久物品减少1件、增加1件。</x:v>
      </x:c>
      <x:c r="L6" s="128" t="str">
        <x:v>先测面包、奶酪、平底锅、盐罐、饕餮嘴</x:v>
      </x:c>
    </x:row>
    <x:row r="7" ht="38" customHeight="1">
      <x:c r="A7" s="134" t="str">
        <x:v>种植</x:v>
      </x:c>
      <x:c r="B7" s="134" t="str">
        <x:v>在长期产果、浇水成长与立即得分之间选择</x:v>
      </x:c>
      <x:c r="C7" s="134" t="str">
        <x:v>雨云、幼苗、南瓜苗、花盆</x:v>
      </x:c>
      <x:c r="D7" s="134" t="str">
        <x:v>葡萄藤、麦田、蜜蜂</x:v>
      </x:c>
      <x:c r="E7" s="134" t="str">
        <x:v>温室罩、果树</x:v>
      </x:c>
      <x:c r="F7" s="134" t="str">
        <x:v>园艺手套、授粉手册、连根相生</x:v>
      </x:c>
      <x:c r="G7" s="134" t="str">
        <x:v>每朵雨云提供2水，可分别交给葡萄藤和麦田；也可集中给南瓜苗得分。水井是机械供水支线，冰块只作应急补给。冻结前整理活植物接触。</x:v>
      </x:c>
      <x:c r="H7" s="134" t="str">
        <x:v>麦田供牧场谷物，水果供烹饪，水井连接机械；锅炉与海绵竞争水珠</x:v>
      </x:c>
      <x:c r="I7" s="134" t="str">
        <x:v>1雨云仅够1葡萄藤与1麦田各发动1次，不能同时满足南瓜3水和锅炉2水。额外消费要补供水；剩余水果和谷物也会稀释核心。</x:v>
      </x:c>
      <x:c r="J7" s="134" t="str">
        <x:v>雨云2、麦田2、葡萄藤2、其他植物6、辅助4</x:v>
      </x:c>
      <x:c r="K7" s="134" t="str">
        <x:v>南瓜苗消耗3水珠后由3升至12，温室罩+50%得18；3颗水珠永久移除。</x:v>
      </x:c>
      <x:c r="L7" s="134" t="str">
        <x:v>先测雨云、幼苗、南瓜苗、葡萄藤、花盆</x:v>
      </x:c>
    </x:row>
    <x:row r="8" ht="52" customHeight="1">
      <x:c r="A8" s="128" t="str">
        <x:v>牧场</x:v>
      </x:c>
      <x:c r="B8" s="128" t="str">
        <x:v>通过母鸡生蛋、绵羊剪毛及蛋的孵化形成组合</x:v>
      </x:c>
      <x:c r="C8" s="128" t="str">
        <x:v>母鸡、鸟巢、麦田、雨云</x:v>
      </x:c>
      <x:c r="D8" s="128" t="str">
        <x:v>奶牛、绵羊、剪毛剪</x:v>
      </x:c>
      <x:c r="E8" s="128" t="str">
        <x:v>蛋托、牧场牌</x:v>
      </x:c>
      <x:c r="F8" s="128" t="str">
        <x:v>加厚草垫、双黄蛋谱、营养饲料</x:v>
      </x:c>
      <x:c r="G8" s="128" t="str">
        <x:v>麦田把1水变为2谷穗，可分别喂给母鸡与奶牛。蛋存活结算3次后变为雏鸡；可以在孵化前加工，或等它成为基础分8的动物。羊毛可展示或拍卖。</x:v>
      </x:c>
      <x:c r="H8" s="128" t="str">
        <x:v>种植供谷物，烹饪处理蛋和奶，拍卖槌处理羊毛；孵化不依赖火源</x:v>
      </x:c>
      <x:c r="I8" s="128" t="str">
        <x:v>不是经过3个全局回合就孵化：未抽到蛋不推进。雏鸡不自动变为母鸡。鸟巢持续增蛋会增加牌库，需控制鸟巢数量与饲料分配。</x:v>
      </x:c>
      <x:c r="J8" s="128" t="str">
        <x:v>雨云2、麦田2、动物6、鸟巢2、剪毛剪1、蛋托1、消费2</x:v>
      </x:c>
      <x:c r="K8" s="128" t="str">
        <x:v>新生成的普通蛋本轮存活计第1次；之后再次入瓶存活两次，第3次仍以蛋结算，结束后变为基础分8的雏鸡。变形不改变牌库件数。</x:v>
      </x:c>
      <x:c r="L8" s="128" t="str">
        <x:v>先测雨云、麦田、母鸡、鸟巢、绵羊、剪毛剪</x:v>
      </x:c>
    </x:row>
    <x:row r="9" ht="38" customHeight="1">
      <x:c r="A9" s="134" t="str">
        <x:v>矿业</x:v>
      </x:c>
      <x:c r="B9" s="134" t="str">
        <x:v>将低分矿石永久加工为宝石或金属</x:v>
      </x:c>
      <x:c r="C9" s="134" t="str">
        <x:v>原矿、岩脉、矿工镐、筛矿机</x:v>
      </x:c>
      <x:c r="D9" s="134" t="str">
        <x:v>铁矿块、宝石原胚、磁铁</x:v>
      </x:c>
      <x:c r="E9" s="134" t="str">
        <x:v>熔炉、宝石切割器</x:v>
      </x:c>
      <x:c r="F9" s="134" t="str">
        <x:v>矿工手套、边角料箱、精炼工艺</x:v>
      </x:c>
      <x:c r="G9" s="134" t="str">
        <x:v>岩脉接触矿镐稳定产1原矿，另有20%铁矿、10%原胚的支线产出。原矿经矿镐变2矿砂，再筛为宝石或金砂。熔炼与切割适合有原料存量时加入。</x:v>
      </x:c>
      <x:c r="H9" s="134" t="str">
        <x:v>元素点火，磁铁增强含铁物品，宝石保留结算，拍卖消耗商品</x:v>
      </x:c>
      <x:c r="I9" s="134" t="str">
        <x:v>铁矿和原胚来源虽可重复但不稳定，不能按每回合各产1件规划。主链每次开采后仍会净增产物，需回收桶或拍卖槌清理。</x:v>
      </x:c>
      <x:c r="J9" s="134" t="str">
        <x:v>矿石7、工具4、元素2、核心3</x:v>
      </x:c>
      <x:c r="K9" s="134" t="str">
        <x:v>铁矿被熔炉消耗，产基础10铁锭，熔炉因铁矿被消耗时效果+3；原料-1、产物+1，牌库净变化0。</x:v>
      </x:c>
      <x:c r="L9" s="134" t="str">
        <x:v>先测岩脉、原矿、矿工镐、筛矿机、熔炉</x:v>
      </x:c>
    </x:row>
    <x:row r="10" ht="38" customHeight="1">
      <x:c r="A10" s="128" t="str">
        <x:v>元素</x:v>
      </x:c>
      <x:c r="B10" s="128" t="str">
        <x:v>保留火种作为催化物，把水或矿石换为爆发</x:v>
      </x:c>
      <x:c r="C10" s="128" t="str">
        <x:v>火种、冰块、雨云</x:v>
      </x:c>
      <x:c r="D10" s="128" t="str">
        <x:v>蜡烛、风箱、水井</x:v>
      </x:c>
      <x:c r="E10" s="128" t="str">
        <x:v>小火山、蒸汽锅炉、鞭炮</x:v>
      </x:c>
      <x:c r="F10" s="128" t="str">
        <x:v>冷凝管、双芯烛台、烟火庆典</x:v>
      </x:c>
      <x:c r="G10" s="128" t="str">
        <x:v>火种点亮蜡烛、点燃锅炉或融冰。雨云主供水，水井补给。冷凝管可在本回合前两次蒸汽生成后各返1颗水珠；锅炉仍最多加工2次。</x:v>
      </x:c>
      <x:c r="H10" s="128" t="str">
        <x:v>种植共用水珠，矿业共用火元素；孵化不需要火源</x:v>
      </x:c>
      <x:c r="I10" s="128" t="str">
        <x:v>无冷凝管时单锅炉跑满消耗2水，正好用掉一朵雨云的产量。鞭炮是一次性爆发，不能视为长期收益来源。</x:v>
      </x:c>
      <x:c r="J10" s="128" t="str">
        <x:v>供水3、火元素3、转换器4、接收者6</x:v>
      </x:c>
      <x:c r="K10" s="128" t="str">
        <x:v>1锅炉有火且持有冷凝管时，从1颗水珠启动并成功完成2次加工：消耗2、回收2，留下1颗水珠和2团临时蒸汽。永久牌库净变化0。</x:v>
      </x:c>
      <x:c r="L10" s="128" t="str">
        <x:v>先测火种、冰块、雨云、蜡烛、蒸汽锅炉</x:v>
      </x:c>
    </x:row>
    <x:row r="11" ht="38" customHeight="1">
      <x:c r="A11" s="134" t="str">
        <x:v>集市</x:v>
      </x:c>
      <x:c r="B11" s="134" t="str">
        <x:v>货币增值、商品展示与直接出售</x:v>
      </x:c>
      <x:c r="C11" s="134" t="str">
        <x:v>金币、招财猪、回收桶</x:v>
      </x:c>
      <x:c r="D11" s="134" t="str">
        <x:v>钱包、货架、磁铁</x:v>
      </x:c>
      <x:c r="E11" s="134" t="str">
        <x:v>金算盘、拍卖槌</x:v>
      </x:c>
      <x:c r="F11" s="134" t="str">
        <x:v>收据夹、分类货签、市集招牌</x:v>
      </x:c>
      <x:c r="G11" s="134" t="str">
        <x:v>货币可长期接触钱包和招财猪成长；商品可保留展示或交给拍卖槌出售。拍卖不再要求基础分8，羊毛、牛奶、晶屑、金砂均有出口。</x:v>
      </x:c>
      <x:c r="H11" s="134" t="str">
        <x:v>矿业供金属与宝石，烹饪供高价热餐，生成流需要清理低值产物</x:v>
      </x:c>
      <x:c r="I11" s="134" t="str">
        <x:v>拍卖永久失去商品，每把槌每回合最多1件，不能自动消化多条产线。回收桶负责指定低值物。仅有货架不会减少牌库。</x:v>
      </x:c>
      <x:c r="J11" s="134" t="str">
        <x:v>货币或商品6、产物供给3、辅助4、拍卖槌2、回收桶1</x:v>
      </x:c>
      <x:c r="K11" s="134" t="str">
        <x:v>1招财猪接触3金币：猪1+6=7；每金币3+3+2=8，三币24，合计31，牌库数量不变。</x:v>
      </x:c>
      <x:c r="L11" s="134" t="str">
        <x:v>先测金币、招财猪、回收桶、钱包、拍卖槌</x:v>
      </x:c>
    </x:row>
    <x:row r="12" ht="52" customHeight="1">
      <x:c r="A12" s="128" t="str">
        <x:v>机械</x:v>
      </x:c>
      <x:c r="B12" s="128" t="str">
        <x:v>用充能提供当回合增值及有限临时复制</x:v>
      </x:c>
      <x:c r="C12" s="128" t="str">
        <x:v>小电池、电动玩具、电容罐</x:v>
      </x:c>
      <x:c r="D12" s="128" t="str">
        <x:v>雷晶石、水井、磁铁</x:v>
      </x:c>
      <x:c r="E12" s="128" t="str">
        <x:v>复印机、电容罐</x:v>
      </x:c>
      <x:c r="F12" s="128" t="str">
        <x:v>备用电芯、能量回执、并联线圈</x:v>
      </x:c>
      <x:c r="G12" s="128" t="str">
        <x:v>玩具用电自增值，电容保留电量结算，复印机用电产临时纸影，水井把电变为永久水珠。水井初始产1水，补1充能后可产第2水。</x:v>
      </x:c>
      <x:c r="H12" s="128" t="str">
        <x:v>水井支援种植与锅炉；商品提供复印原本；纸影可供焚化炉生成魂火和幽灵；计数盘可作为中立数量过渡，不再担当机械后期核心</x:v>
      </x:c>
      <x:c r="I12" s="128" t="str">
        <x:v>初始充能每次正常入瓶恢复，复活不恢复。水井最多产2水，复印机最多产2纸影，补能不解锁第三次；纸影产魂后若未消耗幽灵会扩张牌库。</x:v>
      </x:c>
      <x:c r="J12" s="128" t="str">
        <x:v>电源3、充能6、接收者7</x:v>
      </x:c>
      <x:c r="K12" s="128" t="str">
        <x:v>电容基础1收到3充能后冻结4，剩余3充能结算+9，并联再+6，共19。</x:v>
      </x:c>
      <x:c r="L12" s="128" t="str">
        <x:v>先测小电池、电动玩具、电容罐、复印机、水井</x:v>
      </x:c>
    </x:row>
    <x:row r="13" ht="38" customHeight="1">
      <x:c r="A13" s="134" t="str">
        <x:v>灵魂</x:v>
      </x:c>
      <x:c r="B13" s="134" t="str">
        <x:v>永久消耗换分，少量复活弥补关键损失</x:v>
      </x:c>
      <x:c r="C13" s="134" t="str">
        <x:v>幽灵之门、纸人、灵魂石</x:v>
      </x:c>
      <x:c r="D13" s="134" t="str">
        <x:v>复印机、焚化炉、引魂灯、亡语铃</x:v>
      </x:c>
      <x:c r="E13" s="134" t="str">
        <x:v>守墓人、轮回匣</x:v>
      </x:c>
      <x:c r="F13" s="134" t="str">
        <x:v>悼念花束、魂火提灯、轮回契约</x:v>
      </x:c>
      <x:c r="G13" s="134" t="str">
        <x:v>幽灵之门与灵魂石组成基础续航，每门每回合最多产1幽灵；可消费或用引魂灯保留增值。进阶用商品、复印机与焚化炉把纸影变为魂火和幽灵，再由灵魂石消费。</x:v>
      </x:c>
      <x:c r="H13" s="134" t="str">
        <x:v>普通商品本体不会被复印机消耗；机械纸影作为可重复燃料；其他流派的消耗也能为亡语铃提供事件</x:v>
      </x:c>
      <x:c r="I13" s="134" t="str">
        <x:v>不要只拿灵魂石而没有供魂者。基础引擎两件即可衔接，纸影供魂是四组件扩展。复活不会刷新幽灵之门或纸人的已用次数。</x:v>
      </x:c>
      <x:c r="J13" s="134" t="str">
        <x:v>幽灵之门3、灵魂石3、纸人2、复印机1、商品1、焚化炉1、观察者5</x:v>
      </x:c>
      <x:c r="K13" s="134" t="str">
        <x:v>灵魂石2消耗幽灵2后加5，自身7；幽灵被消耗时效果直接计分2，合计9。幽灵永久移除、进当回合弃牌堆。</x:v>
      </x:c>
      <x:c r="L13" s="134" t="str">
        <x:v>先测幽灵之门、纸人、灵魂石、亡语铃、焚化炉</x:v>
      </x:c>
    </x:row>
    <x:row r="14" ht="52" customHeight="1">
      <x:c r="A14" s="128" t="str">
        <x:v>宝石</x:v>
      </x:c>
      <x:c r="B14" s="128" t="str">
        <x:v>借物理接触支援其他流派并形成宝石组合</x:v>
      </x:c>
      <x:c r="C14" s="128" t="str">
        <x:v>共鸣石、紫水晶、调音叉</x:v>
      </x:c>
      <x:c r="D14" s="128" t="str">
        <x:v>黄水晶、雷晶石、棱镜</x:v>
      </x:c>
      <x:c r="E14" s="128" t="str">
        <x:v>黄玉、镜片</x:v>
      </x:c>
      <x:c r="F14" s="128" t="str">
        <x:v>绒布底座、宝石匣谱、七彩折射</x:v>
      </x:c>
      <x:c r="G14" s="128" t="str">
        <x:v>把黄玉贴在商品生成者旁，其他宝石靠近对应增值目标；冻结前整理宝石接触组和镜片目标。</x:v>
      </x:c>
      <x:c r="H14" s="128" t="str">
        <x:v>矿业永久产晶屑，机械利用充能，成长核心受黄水晶培养</x:v>
      </x:c>
      <x:c r="I14" s="128" t="str">
        <x:v>黄玉追加产物会稀释牌库，不能复制孵化、其他变形或复活。同名晶屑不能独自满足五种宝石，七彩折射还需不同宝石三选一。</x:v>
      </x:c>
      <x:c r="J14" s="128" t="str">
        <x:v>宝石7、接收者6、生成源3</x:v>
      </x:c>
      <x:c r="K14" s="128" t="str">
        <x:v>镜片接触冻结12目标，自身2+floor(12×50%)=8；不读取目标后续结算加分。</x:v>
      </x:c>
      <x:c r="L14" s="128" t="str">
        <x:v>先测共鸣石、紫水晶、调音叉、雷晶石、镜片</x:v>
      </x:c>
    </x:row>
    <x:row r="15" ht="38" customHeight="1">
      <x:c r="A15" s="134" t="str">
        <x:v>探险</x:v>
      </x:c>
      <x:c r="B15" s="134" t="str">
        <x:v>用钥匙或武器把一次性目标变成永久战利品</x:v>
      </x:c>
      <x:c r="C15" s="134" t="str">
        <x:v>钥匙、宝箱、木剑、训练木偶</x:v>
      </x:c>
      <x:c r="D15" s="134" t="str">
        <x:v>地图、放大镜、指挥旗</x:v>
      </x:c>
      <x:c r="E15" s="134" t="str">
        <x:v>守门巨像、宝箱</x:v>
      </x:c>
      <x:c r="F15" s="134" t="str">
        <x:v>备用钥匙圈、磨刀石、探险家勋章</x:v>
      </x:c>
      <x:c r="G15" s="134" t="str">
        <x:v>一把木剑也可通过三次分离再接触击败巨像；训练木偶是每回合恢复的稳定目标。开箱与巨像战利品为有限爆发，不预设每回合自动补目标。</x:v>
      </x:c>
      <x:c r="H15" s="134" t="str">
        <x:v>宝石增强宝藏徽记，地图支援探险物品，集市出售高值战利品；磁铁不增强奖杯</x:v>
      </x:c>
      <x:c r="I15" s="134" t="str">
        <x:v>宝箱、钥匙和巨像会永久消耗。无后续奖励补充时，战斗续航依赖训练木偶；备用钥匙圈只补钥匙，不补宝箱。</x:v>
      </x:c>
      <x:c r="J15" s="134" t="str">
        <x:v>木剑3、训练木偶3、宝箱2、钥匙2、巨像1、辅助5</x:v>
      </x:c>
      <x:c r="K15" s="134" t="str">
        <x:v>1木剑三次成功接触巨像，剑分值2+6=8，巨像退场并产奖杯12与零钱2，再加剑合计22。只需剑与巨像同场，仍须在10秒内完成三次接触。</x:v>
      </x:c>
      <x:c r="L15" s="134" t="str">
        <x:v>先测钥匙、宝箱、木剑、训练木偶、地图</x:v>
      </x:c>
    </x:row>
    <x:row r="16" ht="52" customHeight="1">
      <x:c r="A16" s="128" t="str">
        <x:v>连锁</x:v>
      </x:c>
      <x:c r="B16" s="128" t="str">
        <x:v>利用真实增值先后顺序和直接接触</x:v>
      </x:c>
      <x:c r="C16" s="128" t="str">
        <x:v>接力棒、印章、信封</x:v>
      </x:c>
      <x:c r="D16" s="128" t="str">
        <x:v>邮筒、拼图块、盐罐</x:v>
      </x:c>
      <x:c r="E16" s="128" t="str">
        <x:v>星图</x:v>
      </x:c>
      <x:c r="F16" s="128" t="str">
        <x:v>印泥、集邮册、接力奖章</x:v>
      </x:c>
      <x:c r="G16" s="128" t="str">
        <x:v>先让盐罐给食物加分，再接触接力棒，冻结时贴住星图获得倍率。信封可盖章永久成长，也可投递消耗换分；拼图独立构成同名接触组。</x:v>
      </x:c>
      <x:c r="H16" s="128" t="str">
        <x:v>烹饪调味、磁铁和弹簧台提供第一段增值，食物或含铁商品作为接收者</x:v>
      </x:c>
      <x:c r="I16" s="128" t="str">
        <x:v>接力棒、拼图与星图能跨回合重复工作。信封投递是有限支线：每回合奖励才补信封，集邮册只是将一次消费延长为纪念票，不是信封循环。</x:v>
      </x:c>
      <x:c r="J16" s="128" t="str">
        <x:v>连锁组件4、外部增值源4、接收者8</x:v>
      </x:c>
      <x:c r="K16" s="128" t="str">
        <x:v>面包2先获盐罐+2，再获接力棒+4，冻结8；结算接触星图得12。保留面包可在后续入瓶重复，投递信封则会永久消耗。</x:v>
      </x:c>
      <x:c r="L16" s="128" t="str">
        <x:v>先测接力棒、印章、信封、拼图块、星图</x:v>
      </x:c>
    </x:row>
    <x:row r="17" ht="52" customHeight="1">
      <x:c r="A17" s="134" t="str">
        <x:v>结算</x:v>
      </x:c>
      <x:c r="B17" s="134" t="str">
        <x:v>培育能长期保留的高分核心</x:v>
      </x:c>
      <x:c r="C17" s="134" t="str">
        <x:v>年轮树、指挥旗、秒表</x:v>
      </x:c>
      <x:c r="D17" s="134" t="str">
        <x:v>黄水晶、年轮盘、时光胶囊</x:v>
      </x:c>
      <x:c r="E17" s="134" t="str">
        <x:v>放大镜、平衡秤、桂冠</x:v>
      </x:c>
      <x:c r="F17" s="134" t="str">
        <x:v>旧照片、时代藏品、成长档案</x:v>
      </x:c>
      <x:c r="G17" s="134" t="str">
        <x:v>先养成，再用最后的接触布局分配结算加分与倍率。功能核心避免靠近会处理它的消耗者。</x:v>
      </x:c>
      <x:c r="H17" s="134" t="str">
        <x:v>宝石培养成长，机械提供本回合加分，集市清理商品调节牌库；指挥旗与秒表属于可选中立物品，其他构筑同样可用</x:v>
      </x:c>
      <x:c r="I17" s="134" t="str">
        <x:v>成长与结算辅助不消耗原料，可重复使用。生成过多会降低核心入场率；蛋、毛虫等进度只按自身存活结算次数累计，不按全局回合计时。</x:v>
      </x:c>
      <x:c r="J17" s="134" t="str">
        <x:v>成长核心6、增值源6、结算辅助4</x:v>
      </x:c>
      <x:c r="K17" s="134" t="str">
        <x:v>核心冻结12、结算+4，获得放大镜100%和桂冠100%，得48；假设核心永久基础分低于10，不触发桂冠额外50%。</x:v>
      </x:c>
      <x:c r="L17" s="134" t="str">
        <x:v>先测年轮树、指挥旗、黄水晶、放大镜、平衡秤</x:v>
      </x:c>
    </x:row>
    <x:row r="18" ht="52" customHeight="1">
      <x:c r="A18" s="128" t="str">
        <x:v>中立过渡</x:v>
      </x:c>
      <x:c r="B18" s="128" t="str">
        <x:v>构筑尚未成形时提供独立分数或基础辅助；不是第13个主题流派</x:v>
      </x:c>
      <x:c r="C18" s="128" t="str">
        <x:v>骰子、玻璃珠、计数盘</x:v>
      </x:c>
      <x:c r="D18" s="128" t="str">
        <x:v>弹簧台、指挥旗、秒表</x:v>
      </x:c>
      <x:c r="E18" s="128" t="str">
        <x:v>骰子、计数盘</x:v>
      </x:c>
      <x:c r="F18" s="128" t="str">
        <x:v>普通奇迹、圆形徽章、结伴绳结</x:v>
      </x:c>
      <x:c r="G18" s="128" t="str">
        <x:v>骰子入瓶显示随机点数；计数盘读取冻结总数量；玻璃珠稳定计分。秒表靠延迟首次接触，不依赖摇晃强度。</x:v>
      </x:c>
      <x:c r="H18" s="128" t="str">
        <x:v>任意路线都可选用，无需凑齐中立套装；有明确方向后，优先选择能支持现有循环的物品</x:v>
      </x:c>
      <x:c r="I18" s="128" t="str">
        <x:v>中立没有专属资源闭环，也不给主题流派计数。持续拿无关过渡牌会稀释关键组件入场率；数量型不适合大量消耗。当前未新增换牌、删牌或跳过奖励功能。</x:v>
      </x:c>
      <x:c r="J18" s="128" t="str">
        <x:v>主题组件12、中立过渡4</x:v>
      </x:c>
      <x:c r="K18" s="128" t="str">
        <x:v>无外部加分时：玻璃珠3；骰子1～6，平均3.5；计数盘在16件时4、8件时2、24件时6。</x:v>
      </x:c>
      <x:c r="L18" s="128" t="str">
        <x:v>先测骰子、玻璃珠、计数盘、弹簧台、指挥旗</x:v>
      </x:c>
    </x:row>
  </x:sheetData>
  <x:mergeCells>
    <x:mergeCell ref="A2:L2"/>
    <x:mergeCell ref="A3:L3"/>
  </x:mergeCells>
  <x:pageMargins left="0.7" right="0.7" top="0.75" bottom="0.75" header="0.3" footer="0.3"/>
  <x:tableParts count="1">
    <x:tablePart xmlns:r="http://schemas.openxmlformats.org/officeDocument/2006/relationships" r:id="Re84b837fc26d4ff9"/>
  </x:tableParts>
</x:worksheet>
</file>

<file path=xl/worksheets/sheet4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20" hidden="0" customWidth="1"/>
  </x:cols>
  <x:sheetData>
    <x:row r="1">
      <x:c r="A1" s="3"/>
      <x:c r="B1" s="3"/>
      <x:c r="C1" s="3"/>
    </x:row>
    <x:row r="2" ht="28" customHeight="1">
      <x:c r="A2" s="6" t="str">
        <x:v>规则口径与来源 · V7</x:v>
      </x:c>
      <x:c r="B2" s="6"/>
      <x:c r="C2" s="6"/>
    </x:row>
    <x:row r="3" ht="36" customHeight="1">
      <x:c r="A3" s="64" t="str">
        <x:v>补充中立、共通搭配、骰子与数量计分口径。永久生成与消耗、三次存活孵化及V6供给配方保持一致。</x:v>
      </x:c>
      <x:c r="B3" s="64"/>
      <x:c r="C3" s="64"/>
    </x:row>
    <x:row r="4">
      <x:c r="A4" s="9"/>
      <x:c r="B4" s="9"/>
      <x:c r="C4" s="9"/>
    </x:row>
    <x:row r="5" ht="40" customHeight="1">
      <x:c r="A5" s="123" t="str">
        <x:v>状态</x:v>
      </x:c>
      <x:c r="B5" s="123" t="str">
        <x:v>条目</x:v>
      </x:c>
      <x:c r="C5" s="123" t="str">
        <x:v>内容</x:v>
      </x:c>
    </x:row>
    <x:row r="6" ht="30" customHeight="1">
      <x:c r="A6" s="142" t="str">
        <x:v>已确认</x:v>
      </x:c>
      <x:c r="B6" s="128" t="str">
        <x:v>回合结构</x:v>
      </x:c>
      <x:c r="C6" s="128" t="str">
        <x:v>每回合从牌库抽取16个物体进入瓶中，进行10秒物理摇晃，随后冻结并统一结算。物品三选一仍在每回合结束；每5回合检查目标并获得遗物三选一。</x:v>
      </x:c>
    </x:row>
    <x:row r="7" ht="38" customHeight="1">
      <x:c r="A7" s="144" t="str">
        <x:v>已确认</x:v>
      </x:c>
      <x:c r="B7" s="134" t="str">
        <x:v>默认永久生成</x:v>
      </x:c>
      <x:c r="C7" s="134" t="str">
        <x:v>“生成”默认创建一件永久物品：当场进入瓶中，同时加入永久牌库，之后回合可以抽到。生成时只创建一个实例，瓶中实体与牌库记录是同一件物品。只有明确写“临时生成”的例外不加入永久牌库。</x:v>
      </x:c>
    </x:row>
    <x:row r="8" ht="38" customHeight="1">
      <x:c r="A8" s="142" t="str">
        <x:v>已确认</x:v>
      </x:c>
      <x:c r="B8" s="128" t="str">
        <x:v>默认永久消耗</x:v>
      </x:c>
      <x:c r="C8" s="128" t="str">
        <x:v>“消耗”令目标从瓶中退场并从永久牌库移除，进入本回合弃牌堆。下回合开始时清空弃牌堆，不把这些物品洗回牌库。临时物品被消耗也进入当回合弃牌堆，但本来就没有永久牌库记录。</x:v>
      </x:c>
    </x:row>
    <x:row r="9" ht="38" customHeight="1">
      <x:c r="A9" s="144" t="str">
        <x:v>已确认</x:v>
      </x:c>
      <x:c r="B9" s="134" t="str">
        <x:v>摇晃与直观交互</x:v>
      </x:c>
      <x:c r="C9" s="134" t="str">
        <x:v>摇晃只改变位置和接触机会。效果不读取力度、速度、冲量。取消收存及内部库存；物品通过真实接触直接加分、消耗、生成或变形。瓶内存在的物体才具有物理碰撞与结算分。</x:v>
      </x:c>
    </x:row>
    <x:row r="10" ht="38" customHeight="1">
      <x:c r="A10" s="128" t="str">
        <x:v>设计约定</x:v>
      </x:c>
      <x:c r="B10" s="128" t="str">
        <x:v>每回合重抽</x:v>
      </x:c>
      <x:c r="C10" s="128" t="str">
        <x:v>结算后清理瓶中现场；未被消耗的永久物品仍在牌库。下回合从当前永久牌库重新随机、不放回抽取16件，不额外创建副本。永久消耗可能导致牌库不足16件，其处理规则尚未指定，本表不自行添加补牌或更改抽取数。</x:v>
      </x:c>
    </x:row>
    <x:row r="11" ht="38" customHeight="1">
      <x:c r="A11" s="134" t="str">
        <x:v>设计约定</x:v>
      </x:c>
      <x:c r="B11" s="134" t="str">
        <x:v>临时物品退出</x:v>
      </x:c>
      <x:c r="C11" s="134" t="str">
        <x:v>临时物品正常参加本回合接触和结算；结算完成后自动消失。自然消失不是消耗，不触发被消耗时效果、生成或计分。永久物品回合结束离开瓶中也不是消耗，不进弃牌堆。</x:v>
      </x:c>
    </x:row>
    <x:row r="12" ht="38" customHeight="1">
      <x:c r="A12" s="128" t="str">
        <x:v>设计约定</x:v>
      </x:c>
      <x:c r="B12" s="128" t="str">
        <x:v>分数口径</x:v>
      </x:c>
      <x:c r="C12" s="128" t="str">
        <x:v>B为永久基础分，V为当前分值（B加本回合已获得的分值增加量）。冻结时记录F=V。结算阶段的分值增加量合计为A，结算倍率增量合计为M。每件存活物品最终得分=floor((F+A)×(1+M))。未写永久的分值增加只持续本回合。</x:v>
      </x:c>
    </x:row>
    <x:row r="13" ht="38" customHeight="1">
      <x:c r="A13" s="134" t="str">
        <x:v>设计约定</x:v>
      </x:c>
      <x:c r="B13" s="134" t="str">
        <x:v>直接计分</x:v>
      </x:c>
      <x:c r="C13" s="134" t="str">
        <x:v>“直接计分N”不增加物品分值，也不受结算倍率影响。摇晃阶段的直接计分累计为E，在冻结时锁定；结算结束时的直接计分额外加入总分，不回写E。回合总分=存活物品最终得分之和+E+结算结束时追加分数。被消耗物品不再结算自身分值，消耗本身不自动给分。</x:v>
      </x:c>
    </x:row>
    <x:row r="14" ht="38" customHeight="1">
      <x:c r="A14" s="128" t="str">
        <x:v>设计约定</x:v>
      </x:c>
      <x:c r="B14" s="128" t="str">
        <x:v>冻结与倍率</x:v>
      </x:c>
      <x:c r="C14" s="128" t="str">
        <x:v>10秒时完成当前已成功反应并冻结，停止新接触与新生成。先计算结算加分，再收集倍率。倍率增量相加：+50%与+100%最终乘2.5。结算效果每来源只执行一次，不相互递归触发。</x:v>
      </x:c>
    </x:row>
    <x:row r="15" ht="38" customHeight="1">
      <x:c r="A15" s="134" t="str">
        <x:v>设计约定</x:v>
      </x:c>
      <x:c r="B15" s="134" t="str">
        <x:v>选择目标</x:v>
      </x:c>
      <x:c r="C15" s="134" t="str">
        <x:v>结算时最高、最低、差值及镜片读取一律依据F，不读取正在累加的A或M。并列按实例编号小者先；“唯一最高”在并列时不生效。默认不以自身为“接触目标”。</x:v>
      </x:c>
    </x:row>
    <x:row r="16" ht="52" customHeight="1">
      <x:c r="A16" s="128" t="str">
        <x:v>设计约定</x:v>
      </x:c>
      <x:c r="B16" s="128" t="str">
        <x:v>真实接触</x:v>
      </x:c>
      <x:c r="C16" s="128" t="str">
        <x:v>“接触目标时”是摇晃阶段的接触触发；“结算时，与目标接触”只检查冻结瞬间是否接触；“本回合接触过”检查本回合接触历史。接触均来自真实物理接触，不包括瓶壁。持续接触不逐帧重复触发；条件由不满足变为满足时可触发尚未使用的机会。默认同一来源对同一目标每回合限触发1次，卡面总次数上限同时成立。</x:v>
      </x:c>
    </x:row>
    <x:row r="17" ht="52" customHeight="1">
      <x:c r="A17" s="134" t="str">
        <x:v>设计约定</x:v>
      </x:c>
      <x:c r="B17" s="134" t="str">
        <x:v>连通组及标签</x:v>
      </x:c>
      <x:c r="C17" s="134" t="str">
        <x:v>植物、宝石、拼图接触组只用符合条件的节点及其直接接触边，不经其他物体连接。烹饪物品、集市物品、矿业物品、探险物品、灵魂物品及非连锁物品等流派条件读取主流派；食物、食材、植物、动物、宝石、共鸣、充能、火元素等读取标签。开花植物必须同时有植物与开花标签。具体名称优先匹配该名称，蛋专属条件也包含双黄蛋。</x:v>
      </x:c>
    </x:row>
    <x:row r="18" ht="38" customHeight="1">
      <x:c r="A18" s="128" t="str">
        <x:v>设计约定</x:v>
      </x:c>
      <x:c r="B18" s="128" t="str">
        <x:v>成功消耗</x:v>
      </x:c>
      <x:c r="C18" s="128" t="str">
        <x:v>同一目标只能被一次成功消耗。先验证全部条件，再同时移除配方需要的目标、扣除资源、生成产物及触发计分。条件不满足或无法生成时，整个反应不提交，不消耗原料、不扣次数或充能。当前不设阻止友方消耗的护盾。</x:v>
      </x:c>
    </x:row>
    <x:row r="19" ht="38" customHeight="1">
      <x:c r="A19" s="134" t="str">
        <x:v>设计约定</x:v>
      </x:c>
      <x:c r="B19" s="134" t="str">
        <x:v>弃牌堆与复活</x:v>
      </x:c>
      <x:c r="C19" s="134" t="str">
        <x:v>弃牌堆只保存本回合已被消耗的物品。复活从弃牌堆中取回同一物品，使其重新进入瓶中，并恢复永久牌库记录。轮回匣先选目标，再消耗幽灵。复活不是生成，保留本回合加分、状态、充能及全部已用触发次数，不刷新被消耗效果收益。下回合开始清空弃牌堆。</x:v>
      </x:c>
    </x:row>
    <x:row r="20" ht="38" customHeight="1">
      <x:c r="A20" s="128" t="str">
        <x:v>设计约定</x:v>
      </x:c>
      <x:c r="B20" s="128" t="str">
        <x:v>直接加工</x:v>
      </x:c>
      <x:c r="C20" s="128" t="str">
        <x:v>平底锅消耗食材生成热餐；矿工镐消耗原矿生成矿砂；筛矿机消耗矿砂提取晶屑或金砂；宝石切割器消耗原胚生成晶屑。熔炉点燃后只消耗铁矿块，锅炉点燃后只消耗水珠。火源只负责点亮或点燃，不被这些反应消耗。平底锅按可直接加工的游戏抽象处理。蛋的孵化不属于加工，无需设备或火源。</x:v>
      </x:c>
    </x:row>
    <x:row r="21" ht="38" customHeight="1">
      <x:c r="A21" s="134" t="str">
        <x:v>设计约定</x:v>
      </x:c>
      <x:c r="B21" s="134" t="str">
        <x:v>物品总表与奖励池</x:v>
      </x:c>
      <x:c r="C21" s="134" t="str">
        <x:v>V7物品总表共128件，122件永久、6件临时。98件进入三选一，含6件中立物品；其余只由对应生成或变形来源获取。是否永久与是否进入三选一独立。新增I124骰子、I125玻璃珠；水珠仍不进入三选一。</x:v>
      </x:c>
    </x:row>
    <x:row r="22" ht="38" customHeight="1">
      <x:c r="A22" s="128" t="str">
        <x:v>设计约定</x:v>
      </x:c>
      <x:c r="B22" s="128" t="str">
        <x:v>追加生成</x:v>
      </x:c>
      <x:c r="C22" s="128" t="str">
        <x:v>物品自身技能为正常生成；遗物与黄玉所增加的产物为追加生成。追加生成不再次触发生成类遗物或黄玉，但之后可正常接触、消耗。黄玉遇到多产物时，追加第一个符合商品标签的产物，沿用其生成基础分及永久/临时属性。永久变形与复活都不是生成，不能触发黄玉。</x:v>
      </x:c>
    </x:row>
    <x:row r="23" ht="38" customHeight="1">
      <x:c r="A23" s="134" t="str">
        <x:v>设计约定</x:v>
      </x:c>
      <x:c r="B23" s="134" t="str">
        <x:v>生成与空间</x:v>
      </x:c>
      <x:c r="C23" s="134" t="str">
        <x:v>新物体在来源附近进入瓶中并遵循物理规则，16件只限定初始抽取。必须在合法位置生成，不能因初始重叠反复刷接触；来源与产物分离后再接触才触发两者的接触效果。空间不足时不提交该次反应、不扣原料或次数，10秒内可重试；容量仍需物理原型验证。</x:v>
      </x:c>
    </x:row>
    <x:row r="24" ht="38" customHeight="1">
      <x:c r="A24" s="128" t="str">
        <x:v>设计约定</x:v>
      </x:c>
      <x:c r="B24" s="128" t="str">
        <x:v>商品与生成基础分</x:v>
      </x:c>
      <x:c r="C24" s="128" t="str">
        <x:v>商品、食材、餐食等均为卡面可见标签，不是独立资源。热餐具有餐食标签，没有食材标签，不能再次被平底锅消耗。生成物品的基础分按物品总表或卡面明写的规则设置，不自动继承原料临时增值。双黄蛋在蛋相关条件中按1颗蛋处理。</x:v>
      </x:c>
    </x:row>
    <x:row r="25" ht="52" customHeight="1">
      <x:c r="A25" s="134" t="str">
        <x:v>设计约定</x:v>
      </x:c>
      <x:c r="B25" s="134" t="str">
        <x:v>充能</x:v>
      </x:c>
      <x:c r="C25" s="134" t="str">
        <x:v>每次回合开始入瓶时重置卡面初始充能与电量，充能上限5。先赋初始值，再应用备用电芯，最后启动水井的自动抽水。初始赋值不属于获得充能，备用电芯的增量属于获得充能。电源电量不能补充；目标已满时不扣供电电量或次数。水井每抽水1次先扣1充能并占用1次产量，再触发能量回执、节能齿轮等效果；到2次上限即停止，之后收到充能只保留。复活保留充能与已用次数，不重新启动入瓶效果。</x:v>
      </x:c>
    </x:row>
    <x:row r="26" ht="52" customHeight="1">
      <x:c r="A26" s="128" t="str">
        <x:v>设计约定</x:v>
      </x:c>
      <x:c r="B26" s="128" t="str">
        <x:v>增值历史</x:v>
      </x:c>
      <x:c r="C26" s="128" t="str">
        <x:v>“增值”指摇晃阶段的本回合分值或永久基础分增加，可作用于自身或其他物品。“被物品增值过”则只统计其他物品带来的增值，不同种来源按名称区分；自身加分、遗物加分、充能增加、直接计分、永久变形和结算加分不计入该历史。界面可显示来源图标，不增加路径或邮戳资源。遗物修改原效果的增加量时，不额外产生一次增值事件。</x:v>
      </x:c>
    </x:row>
    <x:row r="27" ht="38" customHeight="1">
      <x:c r="A27" s="134" t="str">
        <x:v>设计约定</x:v>
      </x:c>
      <x:c r="B27" s="134" t="str">
        <x:v>永久成长时点</x:v>
      </x:c>
      <x:c r="C27" s="134" t="str">
        <x:v>接触时的永久基础分增加立即生效并保留，也增加本回合V；结算结束时的永久成长在计分后写入，不追溯本回合得分。先处理物品自身成长，再处理黄水晶与丰收日历，最后判断成长档案；同类来源按实例编号排序。达到来源上限不算成功成长。</x:v>
      </x:c>
    </x:row>
    <x:row r="28" ht="38" customHeight="1">
      <x:c r="A28" s="128" t="str">
        <x:v>设计约定</x:v>
      </x:c>
      <x:c r="B28" s="128" t="str">
        <x:v>永久变形</x:v>
      </x:c>
      <x:c r="C28" s="128" t="str">
        <x:v>幼苗→花株、毛虫→彩翼蝶、时光胶囊→古物奖章、蛋或双黄蛋→雏鸡，均原地替换牌库中的同一实例，不进弃牌堆，不触发生成或消耗，永久牌库数量变化为0。采用新形态初始基础分与标签，清除旧形态加分；身份和本回合通用次数保留。结算结束后的变形结果不在本回合再次计分或执行新形态效果。</x:v>
      </x:c>
    </x:row>
    <x:row r="29" ht="38" customHeight="1">
      <x:c r="A29" s="134" t="str">
        <x:v>设计约定</x:v>
      </x:c>
      <x:c r="B29" s="134" t="str">
        <x:v>回合状态及成长比较</x:v>
      </x:c>
      <x:c r="C29" s="134" t="str">
        <x:v>点亮、点燃、蜡烛临时火元素标签、伤害和接触历史仅持续本回合。蛋的孵化进度、毛虫成熟进度、时光胶囊存活出场次数跨回合保留，都不算基础分成长。正常生成的新实例进度从0开始；复活保留原进度。成长以当前形态的初始基础分为基准，生成时固定基础分特例及变形后的基础分跳变都不触发成长遗物。</x:v>
      </x:c>
    </x:row>
    <x:row r="30" ht="38" customHeight="1">
      <x:c r="A30" s="128" t="str">
        <x:v>设计约定</x:v>
      </x:c>
      <x:c r="B30" s="128" t="str">
        <x:v>同刻冲突与遗物</x:v>
      </x:c>
      <x:c r="C30" s="128" t="str">
        <x:v>同一时刻多来源按实例编号从小到大处理，来源有多个候选目标也按编号选择；卡面另有排序者优先。当前按同名遗物最多持有1份设计，遗物不占16件、不发生物理碰撞，获得后不补发已结束回合的效果；重复掉落规则待定。</x:v>
      </x:c>
    </x:row>
    <x:row r="31" ht="38" customHeight="1">
      <x:c r="A31" s="134" t="str">
        <x:v>设计约定</x:v>
      </x:c>
      <x:c r="B31" s="134" t="str">
        <x:v>品质与形状</x:v>
      </x:c>
      <x:c r="C31" s="134" t="str">
        <x:v>本提案使用普通、优秀、稀有、史诗四档品质。标准形状为圆形、方形、三角形、长条形、凹槽形、弧形、不规则形；效果只读取标准形状列。质量、尺寸、摩擦和掉落权重仍需测试。</x:v>
      </x:c>
    </x:row>
    <x:row r="32" ht="38" customHeight="1">
      <x:c r="A32" s="128" t="str">
        <x:v>设计约定</x:v>
      </x:c>
      <x:c r="B32" s="128" t="str">
        <x:v>牌库变化示例</x:v>
      </x:c>
      <x:c r="C32" s="128" t="str">
        <x:v>平底锅消耗面包并生成热餐：永久-1+1；母鸡消耗谷穗并生成2颗蛋：永久-1+2；海绵消耗水珠：永久-1；锅炉消耗水珠并临时生成蒸汽：永久-1、临时+1；宝箱与钥匙被消耗并生成徽记与晶屑：永久-2+2。存活的永久物品不会因回合结束丢失。</x:v>
      </x:c>
    </x:row>
    <x:row r="33" ht="38" customHeight="1">
      <x:c r="A33" s="146" t="str">
        <x:v>待定</x:v>
      </x:c>
      <x:c r="B33" s="146" t="str">
        <x:v>边界与目标</x:v>
      </x:c>
      <x:c r="C33" s="146" t="str">
        <x:v>永久牌库不足16件时如何开始下回合，需要确定。每5回合的目标分数曲线、达标后余额及失败规则也待定。本次不新增补牌、购买或抽卡资源；所有分数均为首轮测试值。</x:v>
      </x:c>
    </x:row>
    <x:row r="34" ht="38" customHeight="1">
      <x:c r="A34" s="146" t="str">
        <x:v>待定</x:v>
      </x:c>
      <x:c r="B34" s="146" t="str">
        <x:v>原型验收重点</x:v>
      </x:c>
      <x:c r="C34" s="146" t="str">
        <x:v>优先测试供水剩余、谷物是否断供、产物是否有出口、5回合牌库净增量与搭配同场率。雨云每次2颗、水井每回合最多2颗、麦田每回合2束是首测值。连续生成必须考虑抽样稀释，不能把单次资源收支成立当作每回合都能发动。循环检查提供条件算例与抽样估算，不是物理实测或平衡证明。</x:v>
      </x:c>
    </x:row>
    <x:row r="35" ht="38" customHeight="1">
      <x:c r="A35" s="134" t="str">
        <x:v>来源</x:v>
      </x:c>
      <x:c r="B35" s="134" t="str">
        <x:v>参考表</x:v>
      </x:c>
      <x:c r="C35" s="134" t="str">
        <x:v>用户提供的《弹球亿万富翁》飞书工作簿，读取于2026-10-11。源表有126个完整效果触发器与46个完整效果增益；另20个触发器、12个增益缺少完整效果，未作为已知原版能力使用。</x:v>
      </x:c>
    </x:row>
    <x:row r="36" ht="30" customHeight="1">
      <x:c r="A36" s="128" t="str">
        <x:v>来源</x:v>
      </x:c>
      <x:c r="B36" s="128" t="str">
        <x:v>链接</x:v>
      </x:c>
      <x:c r="C36" s="128" t="str">
        <x:v>https://my.feishu.cn/sheets/P5svsZIKNhlNPXtidT7cS6oXnFc</x:v>
      </x:c>
    </x:row>
    <x:row r="37" ht="38" customHeight="1">
      <x:c r="A37" s="134" t="str">
        <x:v>来源</x:v>
      </x:c>
      <x:c r="B37" s="134" t="str">
        <x:v>版本与条目精简</x:v>
      </x:c>
      <x:c r="C37" s="134" t="str">
        <x:v>V7在V6基础上新增骰子、玻璃珠，将弹簧台、计数盘、秒表、指挥旗归为中立；简化计数盘，标明自然共通搭配，更新均衡阵容、组合路线与算例。保留历史审查及V6循环检查；未改动资源配方或既有孵化规则。</x:v>
      </x:c>
    </x:row>
    <x:row r="38" ht="38" customHeight="1">
      <x:c r="A38" s="128" t="str">
        <x:v>设计约定</x:v>
      </x:c>
      <x:c r="B38" s="128" t="str">
        <x:v>卡面标准句式</x:v>
      </x:c>
      <x:c r="C38" s="128" t="str">
        <x:v>接触：接触【目标】时，【效果】。消耗：消耗该目标。生成：生成【数量及名称】；临时例外写临时生成。加分：目标本回合分值+N。永久成长：目标永久基础分+N。独立收益：直接计分N。倍率：目标结算倍率+N%。变形与复活须分别明写，不统称生成。</x:v>
      </x:c>
    </x:row>
    <x:row r="39" ht="38" customHeight="1">
      <x:c r="A39" s="134" t="str">
        <x:v>设计约定</x:v>
      </x:c>
      <x:c r="B39" s="134" t="str">
        <x:v>触发对象与数量</x:v>
      </x:c>
      <x:c r="C39" s="134" t="str">
        <x:v>卡面写具体名称时只匹配该物品，例如母鸡、剪毛剪；写标签时匹配具有该标签的物品。“同名”比较名称，“不同物品”比较实例，“不同种”比较名称。触发时机、单次效果和次数上限分列，不能用宽泛的动物、工具标签替代实际生成条件。</x:v>
      </x:c>
    </x:row>
    <x:row r="40" ht="38" customHeight="1">
      <x:c r="A40" s="128" t="str">
        <x:v>设计约定</x:v>
      </x:c>
      <x:c r="B40" s="128" t="str">
        <x:v>活植物与授粉</x:v>
      </x:c>
      <x:c r="C40" s="128" t="str">
        <x:v>植物标签只表示活植物，摘下的番茄、葡萄、苹果和谷穗不带此标签。开花植物须同时有植物与开花标签；当前包括南瓜苗、葡萄藤、果树、三叶草、花株。蜜蜂与彩翼蝶仅对开花植物触发，花粉不带植物标签。</x:v>
      </x:c>
    </x:row>
    <x:row r="41" ht="38" customHeight="1">
      <x:c r="A41" s="134" t="str">
        <x:v>设计约定</x:v>
      </x:c>
      <x:c r="B41" s="134" t="str">
        <x:v>元素与材质</x:v>
      </x:c>
      <x:c r="C41" s="134" t="str">
        <x:v>水珠是液态水配方的唯一目标；冰块先融化为水珠，蒸汽只有蒸汽标签，不能浇灌或点火。火种、火星、礼花、魂火及本回合已点亮的蜡烛具有火元素标签。磁铁只对铁矿块、铁锭、铁屑生效，金币、金砂、奖杯不会因金属标签而被磁铁增值。</x:v>
      </x:c>
    </x:row>
    <x:row r="42" ht="38" customHeight="1">
      <x:c r="A42" s="128" t="str">
        <x:v>设计约定</x:v>
      </x:c>
      <x:c r="B42" s="128" t="str">
        <x:v>入瓶触发及动物</x:v>
      </x:c>
      <x:c r="C42" s="128" t="str">
        <x:v>初始抽取始终为16件。抽取完成后处理雨云、水井、备用钥匙圈等入瓶效果，生成物不占初始16件。鸟巢只接触母鸡生蛋，剪毛剪只触发绵羊产毛；母鸡与奶牛可消耗谷物。雏鸡是孵化后的动物结算终点，不自动变为母鸡、也不自行生蛋。招财猪为摆件，不带动物标签。</x:v>
      </x:c>
    </x:row>
    <x:row r="43" ht="38" customHeight="1">
      <x:c r="A43" s="144" t="str">
        <x:v>已确认</x:v>
      </x:c>
      <x:c r="B43" s="134" t="str">
        <x:v>蛋的三次存活孵化</x:v>
      </x:c>
      <x:c r="C43" s="134" t="str">
        <x:v>蛋和双黄蛋在结算结束时各自增加1点孵化进度，达到3后原地永久变形为1只雏鸡。只计实际在瓶中且存活的结算，牌库中未抽到时不推进。新生成的蛋当回合存活也算第1次；第3次仍按蛋的分值、标签和蛋托效果结算，之后变形，雏鸡从后续入瓶开始按动物参与结算。</x:v>
      </x:c>
    </x:row>
    <x:row r="44" ht="38" customHeight="1">
      <x:c r="A44" s="128" t="str">
        <x:v>设计约定</x:v>
      </x:c>
      <x:c r="B44" s="128" t="str">
        <x:v>孵化边界与呈现</x:v>
      </x:c>
      <x:c r="C44" s="128" t="str">
        <x:v>界面显示蛋的孵化进度0/3、1/3或2/3。被消耗且未在结算前复活的蛋不增加进度；复活保留进度且每回合最多增加1次。黄玉追加的新蛋和双黄蛋替换后的新蛋都从0开始。双黄蛋只孵化1只雏鸡。孵化不会触发牧场铃铛、新品收据、黄玉、成长档案或任何消耗效果。</x:v>
      </x:c>
    </x:row>
    <x:row r="45" ht="52" customHeight="1">
      <x:c r="A45" s="134" t="str">
        <x:v>设计约定</x:v>
      </x:c>
      <x:c r="B45" s="134" t="str">
        <x:v>供水与谷物收支</x:v>
      </x:c>
      <x:c r="C45" s="134" t="str">
        <x:v>每朵雨云入瓶生成2颗水珠。水井通常凭初始1充能生成1颗，获得额外充能后最多2颗。冰块是消耗自身换2颗水珠的一次性补水，不计作持续源；雨水桶每回合追加1颗；冷凝管最多回收2颗。每块麦田消耗1颗水珠生成2束谷穗。水珠和谷穗均为永久实体，未消耗会扩大牌库。水井是带电动抽水装置的微型井台，水来自井，充能用于抽水，不新增储水计数。</x:v>
      </x:c>
    </x:row>
    <x:row r="46" ht="38" customHeight="1">
      <x:c r="A46" s="128" t="str">
        <x:v>设计约定</x:v>
      </x:c>
      <x:c r="B46" s="128" t="str">
        <x:v>重复攻击与有限循环</x:v>
      </x:c>
      <x:c r="C46" s="128" t="str">
        <x:v>木剑可对同一目标攻击最多3次，必须分离再接触，持续贴住不逐帧攻击。成功造成伤害才扣攻击次数和增加分值；训练木偶已承受3点伤害后不能继续刷分。充能、复活、追加生成和同目标攻击均不重置任何次数。所有反应先占用次数再触发后续事件，禁止在回调中重复占用最后一次额度。</x:v>
      </x:c>
    </x:row>
    <x:row r="47" ht="38" customHeight="1">
      <x:c r="A47" s="134" t="str">
        <x:v>设计约定</x:v>
      </x:c>
      <x:c r="B47" s="134" t="str">
        <x:v>循环检查口径</x:v>
      </x:c>
      <x:c r="C47" s="134" t="str">
        <x:v>可持续表示来源或常驻组件可以在后续入瓶时再次工作，不表示保证每回合抽到或接触成功。自产物回用也受次数上限、10秒窗口和空间约束。宝箱、巨像、鞭炮及信封消费是有限消耗支线；不强行补成永动循环。检查中的牌库变化不含回合末三选一新增物品，并单独标注。</x:v>
      </x:c>
    </x:row>
    <x:row r="48" ht="38" customHeight="1">
      <x:c r="A48" s="128" t="str">
        <x:v>设计约定</x:v>
      </x:c>
      <x:c r="B48" s="128" t="str">
        <x:v>批量生成事件</x:v>
      </x:c>
      <x:c r="C48" s="128" t="str">
        <x:v>同一次反应生成多件物品，视为1次生成事件；例如母鸡一次生成2颗蛋，牧场铃铛只响应1次。按件计数的效果仍逐件处理，例如新品收据计算每件正常生成的永久物品。雨水桶只追加1水，黄玉只追加1件符合条件的商品。双黄蛋谱先替换批次中第一颗蛋，再确定黄玉追加的商品；所有新蛋进度均为0。</x:v>
      </x:c>
    </x:row>
    <x:row r="49" ht="38" customHeight="1">
      <x:c r="A49" s="134" t="str">
        <x:v>设计约定</x:v>
      </x:c>
      <x:c r="B49" s="134" t="str">
        <x:v>主流派与共通定位</x:v>
      </x:c>
      <x:c r="C49" s="134" t="str">
        <x:v>主流派仍是需要流派条件时唯一读取的字段。共通物品保留原主流派，靠实际标签、名称或事件连接其他路线；共通搭配列仅提供选牌提示，没有额外奖励，也不限制未列出的合法搭配。“—”表示未特别列出连接点，不表示禁止跨流派使用。无需让每条路线都有固定桥梁。</x:v>
      </x:c>
    </x:row>
    <x:row r="50" ht="52" customHeight="1">
      <x:c r="A50" s="128" t="str">
        <x:v>设计约定</x:v>
      </x:c>
      <x:c r="B50" s="128" t="str">
        <x:v>中立与通用遗物</x:v>
      </x:c>
      <x:c r="C50" s="128" t="str">
        <x:v>中立物品不要求专用生产链。中立过渡偏独立得分，中立辅助提供基础增值，中立操作需要接触控制；不是所有中立物品都保证稳定收益。中立不计入均衡阵容所需的非中立主流派种类；其他效果仍照常读取名称、标签、形状与品质。“非元素”“非连锁”均包含中立。通用遗物仍对满足条件的任意物品生效，不是中立专属遗物。</x:v>
      </x:c>
    </x:row>
    <x:row r="51" ht="38" customHeight="1">
      <x:c r="A51" s="134" t="str">
        <x:v>设计约定</x:v>
      </x:c>
      <x:c r="B51" s="134" t="str">
        <x:v>骰子与数量计分</x:v>
      </x:c>
      <x:c r="C51" s="134" t="str">
        <x:v>骰子每回合第一次正常入瓶时等概率掷1～6点，作为自身本回合分值加分并显示；本回合复活不重掷，其他加分不被覆盖。下一回合再次入瓶才重掷；不看速度、力度或最终朝向。计数盘在冻结后按仍在瓶中的总件数结算，包括自身、永久与临时物品，不含牌库未抽到、弃牌堆和遗物；每4件+1，最多+6。</x:v>
      </x:c>
    </x:row>
    <x:row r="52" ht="38" customHeight="1">
      <x:c r="A52" s="128" t="str">
        <x:v>设计约定</x:v>
      </x:c>
      <x:c r="B52" s="128" t="str">
        <x:v>中立数值与选牌取舍</x:v>
      </x:c>
      <x:c r="C52" s="128" t="str">
        <x:v>普通中立过渡先测：玻璃珠稳定3分；骰子1～6分、均值3.5；计数盘16件时4分、8件时2分、24件起6分。计数盘的加分发生在结算阶段，不进入冻结分值F，不能倒推为镜片或放大镜的选取依据。中立没有额外抽取名额、保底出现、转型补偿或自由移除。掉落权重与目标曲线未定，不承诺一定能靠中立过关。</x:v>
      </x:c>
    </x:row>
  </x:sheetData>
  <x:mergeCells>
    <x:mergeCell ref="A2:C2"/>
    <x:mergeCell ref="A3:C3"/>
  </x:mergeCells>
  <x:pageMargins left="0.7" right="0.7" top="0.75" bottom="0.75" header="0.3" footer="0.3"/>
  <x:tableParts count="1">
    <x:tablePart xmlns:r="http://schemas.openxmlformats.org/officeDocument/2006/relationships" r:id="Rdf2845f112b643d5"/>
  </x:tableParts>
</x:worksheet>
</file>

<file path=xl/worksheets/sheet5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9" hidden="0" customWidth="1"/>
    <x:col min="3" max="3" width="75" hidden="0" customWidth="1"/>
    <x:col min="4" max="4" width="51" hidden="0" customWidth="1"/>
  </x:cols>
  <x:sheetData>
    <x:row r="1">
      <x:c r="A1" s="3"/>
      <x:c r="B1" s="3"/>
      <x:c r="C1" s="3"/>
      <x:c r="D1" s="3"/>
    </x:row>
    <x:row r="2" ht="28" customHeight="1">
      <x:c r="A2" s="6" t="str">
        <x:v>原机制适配 · V6</x:v>
      </x:c>
      <x:c r="B2" s="6"/>
      <x:c r="C2" s="6"/>
      <x:c r="D2" s="6"/>
    </x:row>
    <x:row r="3" ht="34" customHeight="1">
      <x:c r="A3" s="64" t="str">
        <x:v>保留来源引用，更新自身存活计次、有限用电供水与重复接触攻击。</x:v>
      </x:c>
      <x:c r="B3" s="64"/>
      <x:c r="C3" s="64"/>
      <x:c r="D3" s="64"/>
    </x:row>
    <x:row r="4">
      <x:c r="A4" s="9"/>
      <x:c r="B4" s="9"/>
      <x:c r="C4" s="9"/>
      <x:c r="D4" s="9"/>
    </x:row>
    <x:row r="5" ht="40" customHeight="1">
      <x:c r="A5" s="88" t="str">
        <x:v>原表机制</x:v>
      </x:c>
      <x:c r="B5" s="88" t="str">
        <x:v>本作设计</x:v>
      </x:c>
      <x:c r="C5" s="88" t="str">
        <x:v>适配说明</x:v>
      </x:c>
      <x:c r="D5" s="88" t="str">
        <x:v>参考条目</x:v>
      </x:c>
    </x:row>
    <x:row r="6" ht="30" customHeight="1">
      <x:c r="A6" s="89" t="str">
        <x:v>被球碰到</x:v>
      </x:c>
      <x:c r="B6" s="89" t="str">
        <x:v>两个物品真实接触</x:v>
      </x:c>
      <x:c r="C6" s="89" t="str">
        <x:v>保留碰撞发现组合的乐趣；物品均是会运动的实体，不按撞击力度决定效果。</x:v>
      </x:c>
      <x:c r="D6" s="89" t="str">
        <x:v>Bread、Pumpkin、Sword</x:v>
      </x:c>
    </x:row>
    <x:row r="7" ht="30" customHeight="1">
      <x:c r="A7" s="92" t="str">
        <x:v>携带物或收集内容</x:v>
      </x:c>
      <x:c r="B7" s="92" t="str">
        <x:v>直接接触、加分与出售</x:v>
      </x:c>
      <x:c r="C7" s="92" t="str">
        <x:v>钱包通过接触使货币永久升值；磁铁只对明确含铁物品加分，不设内部存货或携带物。</x:v>
      </x:c>
      <x:c r="D7" s="92" t="str">
        <x:v>Torch、Wallet、Tophat</x:v>
      </x:c>
    </x:row>
    <x:row r="8" ht="30" customHeight="1">
      <x:c r="A8" s="89" t="str">
        <x:v>固定格相邻</x:v>
      </x:c>
      <x:c r="B8" s="89" t="str">
        <x:v>冻结时接触或接触组</x:v>
      </x:c>
      <x:c r="C8" s="89" t="str">
        <x:v>玩家可用摇晃促成或拆散接触，不假设棋盘格。</x:v>
      </x:c>
      <x:c r="D8" s="89" t="str">
        <x:v>Amethyst、Clover、Hammock</x:v>
      </x:c>
    </x:row>
    <x:row r="9" ht="30" customHeight="1">
      <x:c r="A9" s="92" t="str">
        <x:v>球离开屏幕</x:v>
      </x:c>
      <x:c r="B9" s="92" t="str">
        <x:v>当前回合弃牌堆及明确复活</x:v>
      </x:c>
      <x:c r="C9" s="92" t="str">
        <x:v>封闭容器不使用离屏奖励。消耗立即永久移除，轮回匣只能复活本回合已消耗的低分永久物品。</x:v>
      </x:c>
      <x:c r="D9" s="92" t="str">
        <x:v>Feather、Shopping List</x:v>
      </x:c>
    </x:row>
    <x:row r="10" ht="30" customHeight="1">
      <x:c r="A10" s="89" t="str">
        <x:v>收益倍率</x:v>
      </x:c>
      <x:c r="B10" s="89" t="str">
        <x:v>冻结后倍率增量</x:v>
      </x:c>
      <x:c r="C10" s="89" t="str">
        <x:v>倍率相加后统一结算，避免倍率相互复制的递归。</x:v>
      </x:c>
      <x:c r="D10" s="89" t="str">
        <x:v>Rainbow、Compass</x:v>
      </x:c>
    </x:row>
    <x:row r="11" ht="38" customHeight="1">
      <x:c r="A11" s="92" t="str">
        <x:v>限次充能</x:v>
      </x:c>
      <x:c r="B11" s="92" t="str">
        <x:v>显示充能与单回合上限</x:v>
      </x:c>
      <x:c r="C11" s="92" t="str">
        <x:v>充能可补充但不刷新次数；水井每1充能换1水珠、每回合最多2颗。免费永久生成也有单独产量上限。</x:v>
      </x:c>
      <x:c r="D11" s="92" t="str">
        <x:v>Battery、Greenhouse、Outlet</x:v>
      </x:c>
    </x:row>
    <x:row r="12" ht="30" customHeight="1">
      <x:c r="A12" s="89" t="str">
        <x:v>重转</x:v>
      </x:c>
      <x:c r="B12" s="89" t="str">
        <x:v>成长或充能支援</x:v>
      </x:c>
      <x:c r="C12" s="89" t="str">
        <x:v>保持每回合16件与10秒操作窗口，不引入额外重转资源。</x:v>
      </x:c>
      <x:c r="D12" s="89" t="str">
        <x:v>Hourglass、Tire Pump</x:v>
      </x:c>
    </x:row>
    <x:row r="13" ht="30" customHeight="1">
      <x:c r="A13" s="92" t="str">
        <x:v>销毁或移除</x:v>
      </x:c>
      <x:c r="B13" s="92" t="str">
        <x:v>永久消耗与当回合弃牌堆</x:v>
      </x:c>
      <x:c r="C13" s="92" t="str">
        <x:v>消费时从牌库移除；弃牌堆下回合清空而非洗回。生成默认永久，临时例外明写。</x:v>
      </x:c>
      <x:c r="D13" s="92" t="str">
        <x:v>Recycling Bin、Trash Can</x:v>
      </x:c>
    </x:row>
    <x:row r="14" ht="38" customHeight="1">
      <x:c r="A14" s="89" t="str">
        <x:v>年龄</x:v>
      </x:c>
      <x:c r="B14" s="89" t="str">
        <x:v>永久成长或原地升级</x:v>
      </x:c>
      <x:c r="C14" s="89" t="str">
        <x:v>蛋、双黄蛋与毛虫累计自身存活结算次数后变形；牌库中未抽到时不推进。孵化无设备和火源要求。变形不触发消耗或生成。</x:v>
      </x:c>
      <x:c r="D14" s="89" t="str">
        <x:v>Tree、Caterpillar、Time Capsule</x:v>
      </x:c>
    </x:row>
    <x:row r="15" ht="30" customHeight="1">
      <x:c r="A15" s="92" t="str">
        <x:v>额外抽取</x:v>
      </x:c>
      <x:c r="B15" s="92" t="str">
        <x:v>产物与组合奖励</x:v>
      </x:c>
      <x:c r="C15" s="92" t="str">
        <x:v>保留物品和遗物三选一节奏，不增加选项或初始抽取数。</x:v>
      </x:c>
      <x:c r="D15" s="92" t="str">
        <x:v>Camera、Rabbit's Foot、Growth Serum</x:v>
      </x:c>
    </x:row>
    <x:row r="16" ht="30" customHeight="1">
      <x:c r="A16" s="89" t="str">
        <x:v>堆叠与容器</x:v>
      </x:c>
      <x:c r="B16" s="89" t="str">
        <x:v>独立实体的展示和接触</x:v>
      </x:c>
      <x:c r="C16" s="89" t="str">
        <x:v>餐盘、蛋托、货架只影响仍在瓶中的物品；计分对象可见，不吞进不可见库存。</x:v>
      </x:c>
      <x:c r="D16" s="89" t="str">
        <x:v>Cairn、Plate、Amethyst</x:v>
      </x:c>
    </x:row>
    <x:row r="17" ht="38" customHeight="1">
      <x:c r="A17" s="92" t="str">
        <x:v>可攻击目标</x:v>
      </x:c>
      <x:c r="B17" s="92" t="str">
        <x:v>固定伤害与永久战利品</x:v>
      </x:c>
      <x:c r="C17" s="92" t="str">
        <x:v>木剑每次成功接触造成固定1伤害；分离后可重复攻击同一目标，每回合最多3次。巨像3伤害后永久消耗产战利品，木偶则在后续回合恢复。</x:v>
      </x:c>
      <x:c r="D17" s="92" t="str">
        <x:v>Practice Dummy、Cave Troll</x:v>
      </x:c>
    </x:row>
    <x:row r="18" ht="30" customHeight="1">
      <x:c r="A18" s="89" t="str">
        <x:v>原版不明效果</x:v>
      </x:c>
      <x:c r="B18" s="89" t="str">
        <x:v>不推断缺失能力</x:v>
      </x:c>
      <x:c r="C18" s="89" t="str">
        <x:v>20个触发器、12个增益缺完整效果，未用作已知原版机制。本表仍保留来源和原创标注。</x:v>
      </x:c>
      <x:c r="D18" s="89" t="str">
        <x:v>Oven、Zoo、Dark Medal等</x:v>
      </x:c>
    </x:row>
    <x:row r="19" ht="30" customHeight="1">
      <x:c r="A19" s="92" t="str">
        <x:v>原版30秒冷却</x:v>
      </x:c>
      <x:c r="B19" s="92" t="str">
        <x:v>10秒内有限触发</x:v>
      </x:c>
      <x:c r="C19" s="92" t="str">
        <x:v>按来源、目标和回合限制成功次数；复活保留已用次数，追加生成不再次触发追加生成。</x:v>
      </x:c>
      <x:c r="D19" s="92" t="str">
        <x:v>Balloon、Chef's Pan、Firecracker</x:v>
      </x:c>
    </x:row>
    <x:row r="20" ht="38" customHeight="1">
      <x:c r="A20" s="89" t="str">
        <x:v>原版金额</x:v>
      </x:c>
      <x:c r="B20" s="89" t="str">
        <x:v>永久牌库变化下的原型分数</x:v>
      </x:c>
      <x:c r="C20" s="89" t="str">
        <x:v>直接消费需权衡失去未来出场价值；固定产物基础分不继承原料临时增值。所有数值仍待对局验证。</x:v>
      </x:c>
      <x:c r="D20" s="89" t="str">
        <x:v>源表全部数值</x:v>
      </x:c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5700b90c118e454c"/>
  </x:tableParts>
</x:worksheet>
</file>

<file path=xl/worksheets/sheet6.xml><?xml version="1.0" encoding="utf-8"?>
<x:worksheet xmlns:x="http://schemas.openxmlformats.org/spreadsheetml/2006/main">
  <x:sheetPr>
    <x:tabColor rgb="FF344D6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1" hidden="0" customWidth="1"/>
    <x:col min="2" max="2" width="13" hidden="0" customWidth="1"/>
    <x:col min="3" max="3" width="15" hidden="0" customWidth="1"/>
    <x:col min="4" max="4" width="15" hidden="0" customWidth="1"/>
    <x:col min="5" max="5" width="15" hidden="0" customWidth="1"/>
    <x:col min="6" max="6" width="14" hidden="0" customWidth="1"/>
    <x:col min="7" max="7" width="58" hidden="0" customWidth="1"/>
  </x:cols>
  <x:sheetData>
    <x:row r="1">
      <x:c r="A1" s="3"/>
      <x:c r="B1" s="3"/>
      <x:c r="C1" s="3"/>
      <x:c r="D1" s="3"/>
      <x:c r="E1" s="3"/>
      <x:c r="F1" s="3"/>
      <x:c r="G1" s="3"/>
    </x:row>
    <x:row r="2" ht="28" customHeight="1">
      <x:c r="A2" s="6" t="str">
        <x:v>结算算例 · V7</x:v>
      </x:c>
      <x:c r="B2" s="6"/>
      <x:c r="C2" s="6"/>
      <x:c r="D2" s="6"/>
      <x:c r="E2" s="6"/>
      <x:c r="F2" s="6"/>
      <x:c r="G2" s="6"/>
    </x:row>
    <x:row r="3" ht="36" customHeight="1">
      <x:c r="A3" s="64" t="str">
        <x:v>追加数量计分与骰点叠加示例。冻结分值F与结算加分A分开；计数盘本回合计数加分不能被镜片提前读取。</x:v>
      </x:c>
      <x:c r="B3" s="64"/>
      <x:c r="C3" s="64"/>
      <x:c r="D3" s="64"/>
      <x:c r="E3" s="64"/>
      <x:c r="F3" s="64"/>
      <x:c r="G3" s="64"/>
    </x:row>
    <x:row r="4">
      <x:c r="A4" s="9"/>
      <x:c r="B4" s="9"/>
      <x:c r="C4" s="9"/>
      <x:c r="D4" s="9"/>
      <x:c r="E4" s="9"/>
      <x:c r="F4" s="9"/>
      <x:c r="G4" s="9"/>
    </x:row>
    <x:row r="5" ht="40" customHeight="1">
      <x:c r="A5" s="123" t="str">
        <x:v>算例</x:v>
      </x:c>
      <x:c r="B5" s="123" t="str">
        <x:v>冻结分值F</x:v>
      </x:c>
      <x:c r="C5" s="123" t="str">
        <x:v>结算加分A</x:v>
      </x:c>
      <x:c r="D5" s="123" t="str">
        <x:v>结算倍率增量M</x:v>
      </x:c>
      <x:c r="E5" s="123" t="str">
        <x:v>直接计分E</x:v>
      </x:c>
      <x:c r="F5" s="123" t="str">
        <x:v>计算结果</x:v>
      </x:c>
      <x:c r="G5" s="123" t="str">
        <x:v>说明</x:v>
      </x:c>
    </x:row>
    <x:row r="6" ht="38" customHeight="1">
      <x:c r="A6" s="128" t="str">
        <x:v>招财猪接触3枚金币</x:v>
      </x:c>
      <x:c r="B6" s="129" t="n">
        <x:v>7</x:v>
      </x:c>
      <x:c r="C6" s="129" t="n">
        <x:v>0</x:v>
      </x:c>
      <x:c r="D6" s="147" t="n">
        <x:v>0</x:v>
      </x:c>
      <x:c r="E6" s="129" t="n">
        <x:v>0</x:v>
      </x:c>
      <x:c r="F6" s="129" t="n">
        <x:f>ROUNDDOWN((B6+C6)*(1+D6),0)+E6</x:f>
        <x:v>7</x:v>
      </x:c>
      <x:c r="G6" s="128" t="str">
        <x:v>此行只计招财猪：基础分1+3次×2=7；3枚金币各3+3+2=8，另计24。整体31，牌库不变。</x:v>
      </x:c>
    </x:row>
    <x:row r="7" ht="30" customHeight="1">
      <x:c r="A7" s="134" t="str">
        <x:v>南瓜苗3水珠+温室罩</x:v>
      </x:c>
      <x:c r="B7" s="135" t="n">
        <x:v>12</x:v>
      </x:c>
      <x:c r="C7" s="135" t="n">
        <x:v>0</x:v>
      </x:c>
      <x:c r="D7" s="148" t="n">
        <x:v>0.5</x:v>
      </x:c>
      <x:c r="E7" s="135" t="n">
        <x:v>0</x:v>
      </x:c>
      <x:c r="F7" s="135" t="n">
        <x:f>ROUNDDOWN((B7+C7)*(1+D7),0)+E7</x:f>
        <x:v>18</x:v>
      </x:c>
      <x:c r="G7" s="134" t="str">
        <x:v>南瓜苗基础3+3×3，乘1.5得18；永久消耗3颗水珠。</x:v>
      </x:c>
    </x:row>
    <x:row r="8" ht="38" customHeight="1">
      <x:c r="A8" s="128" t="str">
        <x:v>核心叠放大镜与桂冠</x:v>
      </x:c>
      <x:c r="B8" s="129" t="n">
        <x:v>12</x:v>
      </x:c>
      <x:c r="C8" s="129" t="n">
        <x:v>4</x:v>
      </x:c>
      <x:c r="D8" s="147" t="n">
        <x:v>2</x:v>
      </x:c>
      <x:c r="E8" s="129" t="n">
        <x:v>0</x:v>
      </x:c>
      <x:c r="F8" s="129" t="n">
        <x:f>ROUNDDOWN((B8+C8)*(1+D8),0)+E8</x:f>
        <x:v>48</x:v>
      </x:c>
      <x:c r="G8" s="128" t="str">
        <x:v>倍率100%+100%，最终乘3得48；核心永久基础分须低于10，且为唯一最高，桂冠额外50%不触发。</x:v>
      </x:c>
    </x:row>
    <x:row r="9" ht="38" customHeight="1">
      <x:c r="A9" s="134" t="str">
        <x:v>灵魂石消耗1幽灵</x:v>
      </x:c>
      <x:c r="B9" s="135" t="n">
        <x:v>7</x:v>
      </x:c>
      <x:c r="C9" s="135" t="n">
        <x:v>0</x:v>
      </x:c>
      <x:c r="D9" s="148" t="n">
        <x:v>0</x:v>
      </x:c>
      <x:c r="E9" s="135" t="n">
        <x:v>2</x:v>
      </x:c>
      <x:c r="F9" s="135" t="n">
        <x:f>ROUNDDOWN((B9+C9)*(1+D9),0)+E9</x:f>
        <x:v>9</x:v>
      </x:c>
      <x:c r="G9" s="134" t="str">
        <x:v>灵魂石基础分2+幽灵当前分值2+额外3=7；幽灵被消耗时，直接计分2，合计9。幽灵永久移除。</x:v>
      </x:c>
    </x:row>
    <x:row r="10" ht="30" customHeight="1">
      <x:c r="A10" s="128" t="str">
        <x:v>镜片读取冻结12</x:v>
      </x:c>
      <x:c r="B10" s="129" t="n">
        <x:v>2</x:v>
      </x:c>
      <x:c r="C10" s="129" t="n">
        <x:v>6</x:v>
      </x:c>
      <x:c r="D10" s="147" t="n">
        <x:v>0</x:v>
      </x:c>
      <x:c r="E10" s="129" t="n">
        <x:v>0</x:v>
      </x:c>
      <x:c r="F10" s="129" t="n">
        <x:f>ROUNDDOWN((B10+C10)*(1+D10),0)+E10</x:f>
        <x:v>8</x:v>
      </x:c>
      <x:c r="G10" s="128" t="str">
        <x:v>读取冻结分值50%，不读取对方结算加分；2+6=8。</x:v>
      </x:c>
    </x:row>
    <x:row r="11" ht="38" customHeight="1">
      <x:c r="A11" s="134" t="str">
        <x:v>面包经平底锅变热餐</x:v>
      </x:c>
      <x:c r="B11" s="135" t="n">
        <x:v>8</x:v>
      </x:c>
      <x:c r="C11" s="135" t="n">
        <x:v>0</x:v>
      </x:c>
      <x:c r="D11" s="148" t="n">
        <x:v>0</x:v>
      </x:c>
      <x:c r="E11" s="135" t="n">
        <x:v>4</x:v>
      </x:c>
      <x:c r="F11" s="135" t="n">
        <x:f>ROUNDDOWN((B11+C11)*(1+D11),0)+E11</x:f>
        <x:v>12</x:v>
      </x:c>
      <x:c r="G11" s="134" t="str">
        <x:v>只计热餐8与面包被消耗时的直接计分4；面包永久移除1件，热餐永久生成1件，牌库净变化0。平底锅另行结算。</x:v>
      </x:c>
    </x:row>
    <x:row r="12" ht="30" customHeight="1">
      <x:c r="A12" s="128" t="str">
        <x:v>电容3充能+并联线圈</x:v>
      </x:c>
      <x:c r="B12" s="129" t="n">
        <x:v>4</x:v>
      </x:c>
      <x:c r="C12" s="129" t="n">
        <x:v>15</x:v>
      </x:c>
      <x:c r="D12" s="147" t="n">
        <x:v>0</x:v>
      </x:c>
      <x:c r="E12" s="129" t="n">
        <x:v>0</x:v>
      </x:c>
      <x:c r="F12" s="129" t="n">
        <x:f>ROUNDDOWN((B12+C12)*(1+D12),0)+E12</x:f>
        <x:v>19</x:v>
      </x:c>
      <x:c r="G12" s="128" t="str">
        <x:v>电容基础1获3充能先+3；结算3×3，并联线圈3×2，总19。</x:v>
      </x:c>
    </x:row>
    <x:row r="13" ht="38" customHeight="1">
      <x:c r="A13" s="134" t="str">
        <x:v>拍卖槌消耗当前分值8的热餐</x:v>
      </x:c>
      <x:c r="B13" s="135" t="n">
        <x:v>0</x:v>
      </x:c>
      <x:c r="C13" s="135" t="n">
        <x:v>0</x:v>
      </x:c>
      <x:c r="D13" s="148" t="n">
        <x:v>0</x:v>
      </x:c>
      <x:c r="E13" s="135" t="n">
        <x:v>24</x:v>
      </x:c>
      <x:c r="F13" s="135" t="n">
        <x:f>ROUNDDOWN((B13+C13)*(1+D13),0)+E13</x:f>
        <x:v>24</x:v>
      </x:c>
      <x:c r="G13" s="134" t="str">
        <x:v>只计拍卖槌效果：消耗热餐并直接计分8×3=24；热餐不再结算。拍卖槌自身分值另行结算。</x:v>
      </x:c>
    </x:row>
    <x:row r="14" ht="38" customHeight="1">
      <x:c r="A14" s="128" t="str">
        <x:v>蛋第3次存活结算</x:v>
      </x:c>
      <x:c r="B14" s="128" t="n">
        <x:v>2</x:v>
      </x:c>
      <x:c r="C14" s="128" t="n">
        <x:v>0</x:v>
      </x:c>
      <x:c r="D14" s="147" t="n">
        <x:v>0</x:v>
      </x:c>
      <x:c r="E14" s="128" t="n">
        <x:v>0</x:v>
      </x:c>
      <x:c r="F14" s="128" t="n">
        <x:f>ROUNDDOWN((B14+C14)*(1+D14),0)+E14</x:f>
        <x:v>2</x:v>
      </x:c>
      <x:c r="G14" s="128" t="str">
        <x:v>此轮仍按普通蛋2分结算；结束后原地变为基础分8的雏鸡。本轮不再加8分，不触发生成或消耗。</x:v>
      </x:c>
    </x:row>
    <x:row r="15" ht="38" customHeight="1">
      <x:c r="A15" s="134" t="str">
        <x:v>羊毛交给拍卖槌</x:v>
      </x:c>
      <x:c r="B15" s="134" t="n">
        <x:v>0</x:v>
      </x:c>
      <x:c r="C15" s="134" t="n">
        <x:v>0</x:v>
      </x:c>
      <x:c r="D15" s="148" t="n">
        <x:v>0</x:v>
      </x:c>
      <x:c r="E15" s="134" t="n">
        <x:v>12</x:v>
      </x:c>
      <x:c r="F15" s="134" t="n">
        <x:f>ROUNDDOWN((B15+C15)*(1+D15),0)+E15</x:f>
        <x:v>12</x:v>
      </x:c>
      <x:c r="G15" s="134" t="str">
        <x:v>羊毛基础分4，没有额外增值时，消耗后直接计分4×3=12；不再受原基础分8门槛限制，羊毛永久移除。</x:v>
      </x:c>
    </x:row>
    <x:row r="16" ht="30" customHeight="1">
      <x:c r="A16" s="128" t="str">
        <x:v>计数盘／瓶中16件</x:v>
      </x:c>
      <x:c r="B16" s="128" t="n">
        <x:v>0</x:v>
      </x:c>
      <x:c r="C16" s="128" t="n">
        <x:v>4</x:v>
      </x:c>
      <x:c r="D16" s="147" t="n">
        <x:v>0</x:v>
      </x:c>
      <x:c r="E16" s="128" t="n">
        <x:v>0</x:v>
      </x:c>
      <x:c r="F16" s="128" t="n">
        <x:f>ROUNDDOWN((B16+C16)*(1+D16),0)+E16</x:f>
        <x:v>4</x:v>
      </x:c>
      <x:c r="G16" s="128" t="str">
        <x:v>包含计数盘自身；16÷4=4。无外部加分，结算得4。</x:v>
      </x:c>
    </x:row>
    <x:row r="17" ht="30" customHeight="1">
      <x:c r="A17" s="134" t="str">
        <x:v>计数盘／消耗后剩8件</x:v>
      </x:c>
      <x:c r="B17" s="134" t="n">
        <x:v>0</x:v>
      </x:c>
      <x:c r="C17" s="134" t="n">
        <x:v>2</x:v>
      </x:c>
      <x:c r="D17" s="148" t="n">
        <x:v>0</x:v>
      </x:c>
      <x:c r="E17" s="134" t="n">
        <x:v>0</x:v>
      </x:c>
      <x:c r="F17" s="134" t="n">
        <x:f>ROUNDDOWN((B17+C17)*(1+D17),0)+E17</x:f>
        <x:v>2</x:v>
      </x:c>
      <x:c r="G17" s="134" t="str">
        <x:v>只读冻结时仍在瓶中的8件；已消耗物品不计入。</x:v>
      </x:c>
    </x:row>
    <x:row r="18" ht="30" customHeight="1">
      <x:c r="A18" s="128" t="str">
        <x:v>计数盘／生成后共28件</x:v>
      </x:c>
      <x:c r="B18" s="128" t="n">
        <x:v>0</x:v>
      </x:c>
      <x:c r="C18" s="128" t="n">
        <x:v>6</x:v>
      </x:c>
      <x:c r="D18" s="147" t="n">
        <x:v>0</x:v>
      </x:c>
      <x:c r="E18" s="128" t="n">
        <x:v>0</x:v>
      </x:c>
      <x:c r="F18" s="128" t="n">
        <x:f>ROUNDDOWN((B18+C18)*(1+D18),0)+E18</x:f>
        <x:v>6</x:v>
      </x:c>
      <x:c r="G18" s="128" t="str">
        <x:v>28÷4=7，但最多增加6；永久和临时实体均计数。</x:v>
      </x:c>
    </x:row>
    <x:row r="19" ht="38" customHeight="1">
      <x:c r="A19" s="134" t="str">
        <x:v>骰子／掷出6点后再获+2</x:v>
      </x:c>
      <x:c r="B19" s="134" t="n">
        <x:v>8</x:v>
      </x:c>
      <x:c r="C19" s="134" t="n">
        <x:v>0</x:v>
      </x:c>
      <x:c r="D19" s="148" t="n">
        <x:v>0</x:v>
      </x:c>
      <x:c r="E19" s="134" t="n">
        <x:v>0</x:v>
      </x:c>
      <x:c r="F19" s="134" t="n">
        <x:f>ROUNDDOWN((B19+C19)*(1+D19),0)+E19</x:f>
        <x:v>8</x:v>
      </x:c>
      <x:c r="G19" s="134" t="str">
        <x:v>入瓶骰点+6、摇晃阶段外部加分+2，因此冻结分值F=8。不是把其他加分覆盖成骰点。</x:v>
      </x:c>
    </x:row>
  </x:sheetData>
  <x:mergeCells>
    <x:mergeCell ref="A2:G2"/>
    <x:mergeCell ref="A3:G3"/>
  </x:mergeCells>
  <x:pageMargins left="0.7" right="0.7" top="0.75" bottom="0.75" header="0.3" footer="0.3"/>
  <x:tableParts count="1">
    <x:tablePart xmlns:r="http://schemas.openxmlformats.org/officeDocument/2006/relationships" r:id="R20c7ee6145074b3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9" hidden="0" customWidth="1"/>
    <x:col min="2" max="2" width="9" hidden="0" customWidth="1"/>
    <x:col min="3" max="3" width="19" hidden="0" customWidth="1"/>
    <x:col min="4" max="4" width="10" hidden="0" customWidth="1"/>
    <x:col min="5" max="5" width="20" hidden="0" customWidth="1"/>
    <x:col min="6" max="6" width="27" hidden="0" customWidth="1"/>
    <x:col min="7" max="7" width="64" hidden="0" customWidth="1"/>
    <x:col min="8" max="8" width="67" hidden="0" customWidth="1"/>
    <x:col min="9" max="9" width="67" hidden="0" customWidth="1"/>
    <x:col min="10" max="10" width="15" hidden="0" customWidth="1"/>
  </x:cols>
  <x:sheetData>
    <x:row r="2" ht="28" customHeight="1">
      <x:c r="A2" s="61" t="str">
        <x:v>逐项审查 · V4 → V7</x:v>
      </x:c>
      <x:c r="B2" s="61"/>
      <x:c r="C2" s="61"/>
      <x:c r="D2" s="61"/>
      <x:c r="E2" s="61"/>
      <x:c r="F2" s="61"/>
      <x:c r="G2" s="61"/>
      <x:c r="H2" s="61"/>
      <x:c r="I2" s="61"/>
      <x:c r="J2" s="61"/>
    </x:row>
    <x:row r="3" ht="36" customHeight="1">
      <x:c r="A3" s="65" t="str">
        <x:v>保留历史419项，本轮追加4件重新定位物品、2件新增物品及均衡阵容的调整。共通搭配为说明字段，不额外改动配方。</x:v>
      </x:c>
      <x:c r="B3" s="65"/>
      <x:c r="C3" s="65"/>
      <x:c r="D3" s="65"/>
      <x:c r="E3" s="65"/>
      <x:c r="F3" s="65"/>
      <x:c r="G3" s="65"/>
      <x:c r="H3" s="65"/>
      <x:c r="I3" s="65"/>
      <x:c r="J3" s="65"/>
    </x:row>
    <x:row r="4">
      <x:c r="A4" s="29"/>
      <x:c r="B4" s="29"/>
      <x:c r="C4" s="29"/>
      <x:c r="D4" s="29"/>
      <x:c r="E4" s="29"/>
      <x:c r="F4" s="29"/>
      <x:c r="G4" s="29"/>
      <x:c r="H4" s="29"/>
      <x:c r="I4" s="29"/>
    </x:row>
    <x:row r="5" ht="40" customHeight="1">
      <x:c r="A5" s="123" t="str">
        <x:v>类别</x:v>
      </x:c>
      <x:c r="B5" s="123" t="str">
        <x:v>原ID</x:v>
      </x:c>
      <x:c r="C5" s="123" t="str">
        <x:v>原名称</x:v>
      </x:c>
      <x:c r="D5" s="123" t="str">
        <x:v>决策</x:v>
      </x:c>
      <x:c r="E5" s="123" t="str">
        <x:v>该版本名称／状态</x:v>
      </x:c>
      <x:c r="F5" s="123" t="str">
        <x:v>职责合并至</x:v>
      </x:c>
      <x:c r="G5" s="123" t="str">
        <x:v>判断依据</x:v>
      </x:c>
      <x:c r="H5" s="123" t="str">
        <x:v>修改前效果</x:v>
      </x:c>
      <x:c r="I5" s="123" t="str">
        <x:v>该版本效果</x:v>
      </x:c>
      <x:c r="J5" s="123" t="str">
        <x:v>版本</x:v>
      </x:c>
    </x:row>
    <x:row r="6" ht="30" customHeight="1">
      <x:c r="A6" s="128" t="str">
        <x:v>物品</x:v>
      </x:c>
      <x:c r="B6" s="128" t="str">
        <x:v>I001</x:v>
      </x:c>
      <x:c r="C6" s="128" t="str">
        <x:v>面包</x:v>
      </x:c>
      <x:c r="D6" s="128" t="str">
        <x:v>保留</x:v>
      </x:c>
      <x:c r="E6" s="128" t="str">
        <x:v>面包</x:v>
      </x:c>
      <x:c r="F6" s="128" t="str">
        <x:v>—</x:v>
      </x:c>
      <x:c r="G6" s="128" t="str">
        <x:v>食材被烹饪消耗时产生直接收益，区别于保留型食材。</x:v>
      </x:c>
      <x:c r="H6" s="128" t="str">
        <x:v>被烹饪物品消耗时，直接计分4。</x:v>
      </x:c>
      <x:c r="I6" s="128" t="str">
        <x:v>被烹饪物品消耗时，直接计分4。</x:v>
      </x:c>
      <x:c r="J6" s="128" t="str">
        <x:v>V4→V5</x:v>
      </x:c>
    </x:row>
    <x:row r="7" ht="30" customHeight="1">
      <x:c r="A7" s="134" t="str">
        <x:v>物品</x:v>
      </x:c>
      <x:c r="B7" s="134" t="str">
        <x:v>I002</x:v>
      </x:c>
      <x:c r="C7" s="134" t="str">
        <x:v>番茄</x:v>
      </x:c>
      <x:c r="D7" s="134" t="str">
        <x:v>调整</x:v>
      </x:c>
      <x:c r="E7" s="134" t="str">
        <x:v>番茄</x:v>
      </x:c>
      <x:c r="F7" s="134" t="str">
        <x:v>—</x:v>
      </x:c>
      <x:c r="G7" s="134" t="str">
        <x:v>番茄果实不是能接受浇水和温室培育的活植物，移除植物标签。</x:v>
      </x:c>
      <x:c r="H7" s="134" t="str">
        <x:v>结算时，与自身接触的其他番茄每有1件，自身本回合分值+3。</x:v>
      </x:c>
      <x:c r="I7" s="134" t="str">
        <x:v>结算时，与自身接触的其他番茄每有1件，自身本回合分值+3。</x:v>
      </x:c>
      <x:c r="J7" s="134" t="str">
        <x:v>V4→V5</x:v>
      </x:c>
    </x:row>
    <x:row r="8" ht="30" customHeight="1">
      <x:c r="A8" s="128" t="str">
        <x:v>物品</x:v>
      </x:c>
      <x:c r="B8" s="128" t="str">
        <x:v>I003</x:v>
      </x:c>
      <x:c r="C8" s="128" t="str">
        <x:v>奶酪</x:v>
      </x:c>
      <x:c r="D8" s="128" t="str">
        <x:v>保留</x:v>
      </x:c>
      <x:c r="E8" s="128" t="str">
        <x:v>奶酪</x:v>
      </x:c>
      <x:c r="F8" s="128" t="str">
        <x:v>—</x:v>
      </x:c>
      <x:c r="G8" s="128" t="str">
        <x:v>调味后逐回合成长，保留与加工之间有取舍。</x:v>
      </x:c>
      <x:c r="H8" s="128" t="str">
        <x:v>结算结束时，若存活且本回合被烹饪物品增值过，自身永久基础分+1。</x:v>
      </x:c>
      <x:c r="I8" s="128" t="str">
        <x:v>结算结束时，若存活且本回合被烹饪物品增值过，自身永久基础分+1。</x:v>
      </x:c>
      <x:c r="J8" s="128" t="str">
        <x:v>V4→V5</x:v>
      </x:c>
    </x:row>
    <x:row r="9" ht="30" customHeight="1">
      <x:c r="A9" s="134" t="str">
        <x:v>物品</x:v>
      </x:c>
      <x:c r="B9" s="134" t="str">
        <x:v>I004</x:v>
      </x:c>
      <x:c r="C9" s="134" t="str">
        <x:v>平底锅</x:v>
      </x:c>
      <x:c r="D9" s="134" t="str">
        <x:v>保留</x:v>
      </x:c>
      <x:c r="E9" s="134" t="str">
        <x:v>平底锅</x:v>
      </x:c>
      <x:c r="F9" s="134" t="str">
        <x:v>—</x:v>
      </x:c>
      <x:c r="G9" s="134" t="str">
        <x:v>唯一通用食材加工入口，产物热餐不能再次被本配方加工。</x:v>
      </x:c>
      <x:c r="H9" s="134" t="str">
        <x:v>接触食材时，消耗该食材，生成1份热餐。</x:v>
      </x:c>
      <x:c r="I9" s="134" t="str">
        <x:v>接触食材时，消耗该食材，生成1份热餐。</x:v>
      </x:c>
      <x:c r="J9" s="134" t="str">
        <x:v>V4→V5</x:v>
      </x:c>
    </x:row>
    <x:row r="10" ht="30" customHeight="1">
      <x:c r="A10" s="128" t="str">
        <x:v>物品</x:v>
      </x:c>
      <x:c r="B10" s="128" t="str">
        <x:v>I005</x:v>
      </x:c>
      <x:c r="C10" s="128" t="str">
        <x:v>盐罐</x:v>
      </x:c>
      <x:c r="D10" s="128" t="str">
        <x:v>保留</x:v>
      </x:c>
      <x:c r="E10" s="128" t="str">
        <x:v>盐罐</x:v>
      </x:c>
      <x:c r="F10" s="128" t="str">
        <x:v>—</x:v>
      </x:c>
      <x:c r="G10" s="128" t="str">
        <x:v>直接接触调味，作为低门槛增值起点。</x:v>
      </x:c>
      <x:c r="H10" s="128" t="str">
        <x:v>接触食物时，使该食物本回合分值+2。</x:v>
      </x:c>
      <x:c r="I10" s="128" t="str">
        <x:v>接触食物时，使该食物本回合分值+2。</x:v>
      </x:c>
      <x:c r="J10" s="128" t="str">
        <x:v>V4→V5</x:v>
      </x:c>
    </x:row>
    <x:row r="11" ht="30" customHeight="1">
      <x:c r="A11" s="134" t="str">
        <x:v>物品</x:v>
      </x:c>
      <x:c r="B11" s="134" t="str">
        <x:v>I006</x:v>
      </x:c>
      <x:c r="C11" s="134" t="str">
        <x:v>餐盘</x:v>
      </x:c>
      <x:c r="D11" s="134" t="str">
        <x:v>保留</x:v>
      </x:c>
      <x:c r="E11" s="134" t="str">
        <x:v>餐盘</x:v>
      </x:c>
      <x:c r="F11" s="134" t="str">
        <x:v>—</x:v>
      </x:c>
      <x:c r="G11" s="134" t="str">
        <x:v>冻结时配餐倍率，需要保留多种食物和接触布局。</x:v>
      </x:c>
      <x:c r="H11" s="134" t="str">
        <x:v>结算时，与自身接触的食物至少有2种不同名称时，使这些食物各结算倍率+50%。</x:v>
      </x:c>
      <x:c r="I11" s="134" t="str">
        <x:v>结算时，与自身接触的食物至少有2种不同名称时，使这些食物各结算倍率+50%。</x:v>
      </x:c>
      <x:c r="J11" s="134" t="str">
        <x:v>V4→V5</x:v>
      </x:c>
    </x:row>
    <x:row r="12" ht="30" customHeight="1">
      <x:c r="A12" s="128" t="str">
        <x:v>物品</x:v>
      </x:c>
      <x:c r="B12" s="128" t="str">
        <x:v>I007</x:v>
      </x:c>
      <x:c r="C12" s="128" t="str">
        <x:v>饕餮嘴</x:v>
      </x:c>
      <x:c r="D12" s="128" t="str">
        <x:v>保留</x:v>
      </x:c>
      <x:c r="E12" s="128" t="str">
        <x:v>饕餮嘴</x:v>
      </x:c>
      <x:c r="F12" s="128" t="str">
        <x:v>—</x:v>
      </x:c>
      <x:c r="G12" s="128" t="str">
        <x:v>消耗食物换直接收益，与平底锅保留产物不同。</x:v>
      </x:c>
      <x:c r="H12" s="128" t="str">
        <x:v>接触食物时，消耗该食物，直接计分等于其被消耗前的当前分值+8。</x:v>
      </x:c>
      <x:c r="I12" s="128" t="str">
        <x:v>接触食物时，消耗该食物，直接计分等于其被消耗前的当前分值+8。</x:v>
      </x:c>
      <x:c r="J12" s="128" t="str">
        <x:v>V4→V5</x:v>
      </x:c>
    </x:row>
    <x:row r="13" ht="38" customHeight="1">
      <x:c r="A13" s="134" t="str">
        <x:v>物品</x:v>
      </x:c>
      <x:c r="B13" s="134" t="str">
        <x:v>I008</x:v>
      </x:c>
      <x:c r="C13" s="134" t="str">
        <x:v>便当布</x:v>
      </x:c>
      <x:c r="D13" s="134" t="str">
        <x:v>合并</x:v>
      </x:c>
      <x:c r="E13" s="134" t="str">
        <x:v>退出当前目录</x:v>
      </x:c>
      <x:c r="F13" s="134" t="str">
        <x:v>I006 餐盘</x:v>
      </x:c>
      <x:c r="G13" s="134" t="str">
        <x:v>便当布与餐盘、货架都奖励接触食物；烹饪仅保留餐盘的配餐倍率。</x:v>
      </x:c>
      <x:c r="H13" s="134" t="str">
        <x:v>结算时，与自身接触的食物各本回合分值+3；其中至少有3种不同名称时，自身本回合分值再+6。</x:v>
      </x:c>
      <x:c r="I13" s="134" t="str">
        <x:v>从当前总表和奖励池移除；历史ID保留</x:v>
      </x:c>
      <x:c r="J13" s="134" t="str">
        <x:v>V4→V5</x:v>
      </x:c>
    </x:row>
    <x:row r="14" ht="30" customHeight="1">
      <x:c r="A14" s="128" t="str">
        <x:v>物品</x:v>
      </x:c>
      <x:c r="B14" s="128" t="str">
        <x:v>I010</x:v>
      </x:c>
      <x:c r="C14" s="128" t="str">
        <x:v>宴会钟</x:v>
      </x:c>
      <x:c r="D14" s="128" t="str">
        <x:v>调整</x:v>
      </x:c>
      <x:c r="E14" s="128" t="str">
        <x:v>宴会钟</x:v>
      </x:c>
      <x:c r="F14" s="128" t="str">
        <x:v>—</x:v>
      </x:c>
      <x:c r="G14" s="128" t="str">
        <x:v>宴席只统计烹饪消耗食材，母鸡或奶牛进食不能代替烹饪过程。</x:v>
      </x:c>
      <x:c r="H14" s="128" t="str">
        <x:v>结算时，本回合消耗过至少2种不同食材时，所有存活餐食结算倍率+50%。</x:v>
      </x:c>
      <x:c r="I14" s="128" t="str">
        <x:v>结算时，本回合被烹饪物品消耗过至少2种不同食材时，所有存活餐食结算倍率+50%。</x:v>
      </x:c>
      <x:c r="J14" s="128" t="str">
        <x:v>V4→V5</x:v>
      </x:c>
    </x:row>
    <x:row r="15" ht="30" customHeight="1">
      <x:c r="A15" s="134" t="str">
        <x:v>物品</x:v>
      </x:c>
      <x:c r="B15" s="134" t="str">
        <x:v>I011</x:v>
      </x:c>
      <x:c r="C15" s="134" t="str">
        <x:v>雨云</x:v>
      </x:c>
      <x:c r="D15" s="134" t="str">
        <x:v>调整</x:v>
      </x:c>
      <x:c r="E15" s="134" t="str">
        <x:v>雨云</x:v>
      </x:c>
      <x:c r="F15" s="134" t="str">
        <x:v>—</x:v>
      </x:c>
      <x:c r="G15" s="134" t="str">
        <x:v>雨云直接下雨，无需先接触植物才能产生水。</x:v>
      </x:c>
      <x:c r="H15" s="134" t="str">
        <x:v>接触植物时，生成1颗水珠。</x:v>
      </x:c>
      <x:c r="I15" s="134" t="str">
        <x:v>回合开始入瓶时，生成1颗水珠。</x:v>
      </x:c>
      <x:c r="J15" s="134" t="str">
        <x:v>V4→V5</x:v>
      </x:c>
    </x:row>
    <x:row r="16" ht="30" customHeight="1">
      <x:c r="A16" s="128" t="str">
        <x:v>物品</x:v>
      </x:c>
      <x:c r="B16" s="128" t="str">
        <x:v>I012</x:v>
      </x:c>
      <x:c r="C16" s="128" t="str">
        <x:v>幼苗</x:v>
      </x:c>
      <x:c r="D16" s="128" t="str">
        <x:v>调整</x:v>
      </x:c>
      <x:c r="E16" s="128" t="str">
        <x:v>幼苗</x:v>
      </x:c>
      <x:c r="F16" s="128" t="str">
        <x:v>—</x:v>
      </x:c>
      <x:c r="G16" s="128" t="str">
        <x:v>液态水才能浇灌；成熟形态改名花株，避免幼苗变嫩芽的倒退感。</x:v>
      </x:c>
      <x:c r="H16" s="128" t="str">
        <x:v>首次接触水元素时，永久变形为嫩芽。</x:v>
      </x:c>
      <x:c r="I16" s="128" t="str">
        <x:v>接触水珠时，永久变形为花株。</x:v>
      </x:c>
      <x:c r="J16" s="128" t="str">
        <x:v>V4→V5</x:v>
      </x:c>
    </x:row>
    <x:row r="17" ht="30" customHeight="1">
      <x:c r="A17" s="134" t="str">
        <x:v>物品</x:v>
      </x:c>
      <x:c r="B17" s="134" t="str">
        <x:v>I013</x:v>
      </x:c>
      <x:c r="C17" s="134" t="str">
        <x:v>南瓜</x:v>
      </x:c>
      <x:c r="D17" s="134" t="str">
        <x:v>调整</x:v>
      </x:c>
      <x:c r="E17" s="134" t="str">
        <x:v>南瓜苗</x:v>
      </x:c>
      <x:c r="F17" s="134" t="str">
        <x:v>—</x:v>
      </x:c>
      <x:c r="G17" s="134" t="str">
        <x:v>明确是仍在生长的南瓜苗，而不是摘下的南瓜吸水成长。</x:v>
      </x:c>
      <x:c r="H17" s="134" t="str">
        <x:v>接触水珠时，消耗该水珠，自身本回合分值+3。</x:v>
      </x:c>
      <x:c r="I17" s="134" t="str">
        <x:v>接触水珠时，消耗该水珠，自身本回合分值+3。</x:v>
      </x:c>
      <x:c r="J17" s="134" t="str">
        <x:v>V4→V5</x:v>
      </x:c>
    </x:row>
    <x:row r="18" ht="30" customHeight="1">
      <x:c r="A18" s="128" t="str">
        <x:v>物品</x:v>
      </x:c>
      <x:c r="B18" s="128" t="str">
        <x:v>I014</x:v>
      </x:c>
      <x:c r="C18" s="128" t="str">
        <x:v>葡萄藤</x:v>
      </x:c>
      <x:c r="D18" s="128" t="str">
        <x:v>调整</x:v>
      </x:c>
      <x:c r="E18" s="128" t="str">
        <x:v>葡萄藤</x:v>
      </x:c>
      <x:c r="F18" s="128" t="str">
        <x:v>—</x:v>
      </x:c>
      <x:c r="G18" s="128" t="str">
        <x:v>果实由浇灌产生，不因碰到任意植物而凭空长出；与果树区分为多产量。</x:v>
      </x:c>
      <x:c r="H18" s="128" t="str">
        <x:v>接触其他植物时，生成1颗葡萄，自身本回合分值+2。</x:v>
      </x:c>
      <x:c r="I18" s="128" t="str">
        <x:v>接触水珠时，消耗该水珠，生成2串葡萄。</x:v>
      </x:c>
      <x:c r="J18" s="128" t="str">
        <x:v>V4→V5</x:v>
      </x:c>
    </x:row>
    <x:row r="19" ht="38" customHeight="1">
      <x:c r="A19" s="134" t="str">
        <x:v>物品</x:v>
      </x:c>
      <x:c r="B19" s="134" t="str">
        <x:v>I015</x:v>
      </x:c>
      <x:c r="C19" s="134" t="str">
        <x:v>果树</x:v>
      </x:c>
      <x:c r="D19" s="134" t="str">
        <x:v>调整</x:v>
      </x:c>
      <x:c r="E19" s="134" t="str">
        <x:v>果树</x:v>
      </x:c>
      <x:c r="F19" s="134" t="str">
        <x:v>—</x:v>
      </x:c>
      <x:c r="G19" s="134" t="str">
        <x:v>改为浇灌结果后生长，不再因自己产出的苹果被消耗才成长。</x:v>
      </x:c>
      <x:c r="H19" s="134" t="str">
        <x:v>接触水元素时，生成1颗苹果。结算结束时，若自身存活，且自身本回合生成的苹果被消耗过，自身永久基础分+1。</x:v>
      </x:c>
      <x:c r="I19" s="134" t="str">
        <x:v>接触水珠时，消耗该水珠，生成1颗苹果。结算结束时，若自身存活且本回合成功生成过苹果，自身永久基础分+1。</x:v>
      </x:c>
      <x:c r="J19" s="134" t="str">
        <x:v>V4→V5</x:v>
      </x:c>
    </x:row>
    <x:row r="20" ht="30" customHeight="1">
      <x:c r="A20" s="128" t="str">
        <x:v>物品</x:v>
      </x:c>
      <x:c r="B20" s="128" t="str">
        <x:v>I016</x:v>
      </x:c>
      <x:c r="C20" s="128" t="str">
        <x:v>三叶草</x:v>
      </x:c>
      <x:c r="D20" s="128" t="str">
        <x:v>调整</x:v>
      </x:c>
      <x:c r="E20" s="128" t="str">
        <x:v>三叶草</x:v>
      </x:c>
      <x:c r="F20" s="128" t="str">
        <x:v>—</x:v>
      </x:c>
      <x:c r="G20" s="128" t="str">
        <x:v>保留三叶草成簇玩法，补充开花标签作为明确授粉目标。</x:v>
      </x:c>
      <x:c r="H20" s="128" t="str">
        <x:v>结算时，若自身所在的植物接触组中有至少3件三叶草，自身本回合分值+6。</x:v>
      </x:c>
      <x:c r="I20" s="128" t="str">
        <x:v>结算时，若自身所在的植物接触组中有至少3件三叶草，自身本回合分值+6。</x:v>
      </x:c>
      <x:c r="J20" s="128" t="str">
        <x:v>V4→V5</x:v>
      </x:c>
    </x:row>
    <x:row r="21" ht="30" customHeight="1">
      <x:c r="A21" s="134" t="str">
        <x:v>物品</x:v>
      </x:c>
      <x:c r="B21" s="134" t="str">
        <x:v>I017</x:v>
      </x:c>
      <x:c r="C21" s="134" t="str">
        <x:v>浇水壶</x:v>
      </x:c>
      <x:c r="D21" s="134" t="str">
        <x:v>合并</x:v>
      </x:c>
      <x:c r="E21" s="134" t="str">
        <x:v>退出当前目录</x:v>
      </x:c>
      <x:c r="F21" s="134" t="str">
        <x:v>I013 南瓜苗</x:v>
      </x:c>
      <x:c r="G21" s="134" t="str">
        <x:v>无水也能浇水不直观；供水由雨云承担，耗水成长由植物自身处理。</x:v>
      </x:c>
      <x:c r="H21" s="134" t="str">
        <x:v>接触植物时，使该植物本回合分值+2；此时，自身还与水珠接触，则该次改为+5。</x:v>
      </x:c>
      <x:c r="I21" s="134" t="str">
        <x:v>从当前总表和奖励池移除；历史ID保留</x:v>
      </x:c>
      <x:c r="J21" s="134" t="str">
        <x:v>V4→V5</x:v>
      </x:c>
    </x:row>
    <x:row r="22" ht="38" customHeight="1">
      <x:c r="A22" s="128" t="str">
        <x:v>物品</x:v>
      </x:c>
      <x:c r="B22" s="128" t="str">
        <x:v>I018</x:v>
      </x:c>
      <x:c r="C22" s="128" t="str">
        <x:v>蜜蜂</x:v>
      </x:c>
      <x:c r="D22" s="128" t="str">
        <x:v>调整</x:v>
      </x:c>
      <x:c r="E22" s="128" t="str">
        <x:v>蜜蜂</x:v>
      </x:c>
      <x:c r="F22" s="128" t="str">
        <x:v>—</x:v>
      </x:c>
      <x:c r="G22" s="128" t="str">
        <x:v>授粉与蜂蜜只来自开花植物，不再对谷物、果实或任意植物生效。</x:v>
      </x:c>
      <x:c r="H22" s="128" t="str">
        <x:v>接触植物时，双方本回合分值各+1；接触过3个不同植物后生成1滴蜂蜜。</x:v>
      </x:c>
      <x:c r="I22" s="128" t="str">
        <x:v>接触开花植物时，该植物与自身本回合分值各+1。本回合累计接触3株不同的开花植物后，生成1份蜂蜜。</x:v>
      </x:c>
      <x:c r="J22" s="128" t="str">
        <x:v>V4→V5</x:v>
      </x:c>
    </x:row>
    <x:row r="23" ht="30" customHeight="1">
      <x:c r="A23" s="134" t="str">
        <x:v>物品</x:v>
      </x:c>
      <x:c r="B23" s="134" t="str">
        <x:v>I019</x:v>
      </x:c>
      <x:c r="C23" s="134" t="str">
        <x:v>温室罩</x:v>
      </x:c>
      <x:c r="D23" s="134" t="str">
        <x:v>保留</x:v>
      </x:c>
      <x:c r="E23" s="134" t="str">
        <x:v>温室罩</x:v>
      </x:c>
      <x:c r="F23" s="134" t="str">
        <x:v>—</x:v>
      </x:c>
      <x:c r="G23" s="134" t="str">
        <x:v>支持两株植物结算倍率，与花盆的固定加分不同。</x:v>
      </x:c>
      <x:c r="H23" s="134" t="str">
        <x:v>结算时，与自身接触的植物各结算倍率+50%。</x:v>
      </x:c>
      <x:c r="I23" s="134" t="str">
        <x:v>结算时，与自身接触的植物各结算倍率+50%。</x:v>
      </x:c>
      <x:c r="J23" s="134" t="str">
        <x:v>V4→V5</x:v>
      </x:c>
    </x:row>
    <x:row r="24" ht="38" customHeight="1">
      <x:c r="A24" s="128" t="str">
        <x:v>物品</x:v>
      </x:c>
      <x:c r="B24" s="128" t="str">
        <x:v>I020</x:v>
      </x:c>
      <x:c r="C24" s="128" t="str">
        <x:v>花盆</x:v>
      </x:c>
      <x:c r="D24" s="128" t="str">
        <x:v>保留</x:v>
      </x:c>
      <x:c r="E24" s="128" t="str">
        <x:v>花盆</x:v>
      </x:c>
      <x:c r="F24" s="128" t="str">
        <x:v>—</x:v>
      </x:c>
      <x:c r="G24" s="128" t="str">
        <x:v>单株培育固定加分，提供集中与分散布局取舍。</x:v>
      </x:c>
      <x:c r="H24" s="128" t="str">
        <x:v>结算时，恰好接触1件植物时，该植物本回合分值+6；接触2件以上时，这些植物各本回合分值+2。</x:v>
      </x:c>
      <x:c r="I24" s="128" t="str">
        <x:v>结算时，恰好接触1件植物时，该植物本回合分值+6；接触2件以上时，这些植物各本回合分值+2。</x:v>
      </x:c>
      <x:c r="J24" s="128" t="str">
        <x:v>V4→V5</x:v>
      </x:c>
    </x:row>
    <x:row r="25" ht="30" customHeight="1">
      <x:c r="A25" s="134" t="str">
        <x:v>物品</x:v>
      </x:c>
      <x:c r="B25" s="134" t="str">
        <x:v>I021</x:v>
      </x:c>
      <x:c r="C25" s="134" t="str">
        <x:v>鸟巢</x:v>
      </x:c>
      <x:c r="D25" s="134" t="str">
        <x:v>保留</x:v>
      </x:c>
      <x:c r="E25" s="134" t="str">
        <x:v>鸟巢</x:v>
      </x:c>
      <x:c r="F25" s="134" t="str">
        <x:v>—</x:v>
      </x:c>
      <x:c r="G25" s="134" t="str">
        <x:v>母鸡与鸟巢明确配对生蛋，不触发其他动物。</x:v>
      </x:c>
      <x:c r="H25" s="134" t="str">
        <x:v>接触母鸡时，生成1颗蛋。</x:v>
      </x:c>
      <x:c r="I25" s="134" t="str">
        <x:v>接触母鸡时，生成1颗蛋。</x:v>
      </x:c>
      <x:c r="J25" s="134" t="str">
        <x:v>V4→V5</x:v>
      </x:c>
    </x:row>
    <x:row r="26" ht="30" customHeight="1">
      <x:c r="A26" s="128" t="str">
        <x:v>物品</x:v>
      </x:c>
      <x:c r="B26" s="128" t="str">
        <x:v>I022</x:v>
      </x:c>
      <x:c r="C26" s="128" t="str">
        <x:v>母鸡</x:v>
      </x:c>
      <x:c r="D26" s="128" t="str">
        <x:v>保留</x:v>
      </x:c>
      <x:c r="E26" s="128" t="str">
        <x:v>母鸡</x:v>
      </x:c>
      <x:c r="F26" s="128" t="str">
        <x:v>—</x:v>
      </x:c>
      <x:c r="G26" s="128" t="str">
        <x:v>吃谷物生成蛋，消耗与产量清楚。</x:v>
      </x:c>
      <x:c r="H26" s="128" t="str">
        <x:v>接触谷物时，消耗该谷物，生成2颗蛋。</x:v>
      </x:c>
      <x:c r="I26" s="128" t="str">
        <x:v>接触谷物时，消耗该谷物，生成2颗蛋。</x:v>
      </x:c>
      <x:c r="J26" s="128" t="str">
        <x:v>V4→V5</x:v>
      </x:c>
    </x:row>
    <x:row r="27" ht="30" customHeight="1">
      <x:c r="A27" s="134" t="str">
        <x:v>物品</x:v>
      </x:c>
      <x:c r="B27" s="134" t="str">
        <x:v>I023</x:v>
      </x:c>
      <x:c r="C27" s="134" t="str">
        <x:v>谷穗</x:v>
      </x:c>
      <x:c r="D27" s="134" t="str">
        <x:v>调整</x:v>
      </x:c>
      <x:c r="E27" s="134" t="str">
        <x:v>谷穗</x:v>
      </x:c>
      <x:c r="F27" s="134" t="str">
        <x:v>—</x:v>
      </x:c>
      <x:c r="G27" s="134" t="str">
        <x:v>摘下的谷穗作为粮食，不作为花盆或温室中的活植物。</x:v>
      </x:c>
      <x:c r="H27" s="134" t="str">
        <x:v>被动物消耗时，使该动物本回合分值+3。</x:v>
      </x:c>
      <x:c r="I27" s="134" t="str">
        <x:v>被母鸡或奶牛消耗时，使该动物本回合分值+3。</x:v>
      </x:c>
      <x:c r="J27" s="134" t="str">
        <x:v>V4→V5</x:v>
      </x:c>
    </x:row>
    <x:row r="28" ht="30" customHeight="1">
      <x:c r="A28" s="128" t="str">
        <x:v>物品</x:v>
      </x:c>
      <x:c r="B28" s="128" t="str">
        <x:v>I024</x:v>
      </x:c>
      <x:c r="C28" s="128" t="str">
        <x:v>奶牛</x:v>
      </x:c>
      <x:c r="D28" s="128" t="str">
        <x:v>保留</x:v>
      </x:c>
      <x:c r="E28" s="128" t="str">
        <x:v>奶牛</x:v>
      </x:c>
      <x:c r="F28" s="128" t="str">
        <x:v>—</x:v>
      </x:c>
      <x:c r="G28" s="128" t="str">
        <x:v>吃谷物生成牛奶，与母鸡产物不同且支持牧场多样性。</x:v>
      </x:c>
      <x:c r="H28" s="128" t="str">
        <x:v>接触谷物时，消耗该谷物，生成1瓶牛奶。</x:v>
      </x:c>
      <x:c r="I28" s="128" t="str">
        <x:v>接触谷物时，消耗该谷物，生成1瓶牛奶。</x:v>
      </x:c>
      <x:c r="J28" s="128" t="str">
        <x:v>V4→V5</x:v>
      </x:c>
    </x:row>
    <x:row r="29" ht="30" customHeight="1">
      <x:c r="A29" s="134" t="str">
        <x:v>物品</x:v>
      </x:c>
      <x:c r="B29" s="134" t="str">
        <x:v>I025</x:v>
      </x:c>
      <x:c r="C29" s="134" t="str">
        <x:v>绵羊</x:v>
      </x:c>
      <x:c r="D29" s="134" t="str">
        <x:v>保留</x:v>
      </x:c>
      <x:c r="E29" s="134" t="str">
        <x:v>绵羊</x:v>
      </x:c>
      <x:c r="F29" s="134" t="str">
        <x:v>—</x:v>
      </x:c>
      <x:c r="G29" s="134" t="str">
        <x:v>只与剪毛剪反应生成羊毛，不匹配工具大类。</x:v>
      </x:c>
      <x:c r="H29" s="134" t="str">
        <x:v>接触剪毛剪时，生成1团羊毛。</x:v>
      </x:c>
      <x:c r="I29" s="134" t="str">
        <x:v>接触剪毛剪时，生成1团羊毛。</x:v>
      </x:c>
      <x:c r="J29" s="134" t="str">
        <x:v>V4→V5</x:v>
      </x:c>
    </x:row>
    <x:row r="30" ht="38" customHeight="1">
      <x:c r="A30" s="128" t="str">
        <x:v>物品</x:v>
      </x:c>
      <x:c r="B30" s="128" t="str">
        <x:v>I026</x:v>
      </x:c>
      <x:c r="C30" s="128" t="str">
        <x:v>毛虫</x:v>
      </x:c>
      <x:c r="D30" s="128" t="str">
        <x:v>调整</x:v>
      </x:c>
      <x:c r="E30" s="128" t="str">
        <x:v>毛虫</x:v>
      </x:c>
      <x:c r="F30" s="128" t="str">
        <x:v>—</x:v>
      </x:c>
      <x:c r="G30" s="128" t="str">
        <x:v>去掉接触任何工具就停止成熟的无依据禁忌。</x:v>
      </x:c>
      <x:c r="H30" s="128" t="str">
        <x:v>结算结束时，若自身存活且本回合未接触工具，自身成熟进度+1；成熟进度达到3时，永久变形为彩翼蝶。</x:v>
      </x:c>
      <x:c r="I30" s="128" t="str">
        <x:v>结算结束时，若自身存活，自身成熟进度+1；成熟进度达到3时，永久变形为彩翼蝶。</x:v>
      </x:c>
      <x:c r="J30" s="128" t="str">
        <x:v>V4→V5</x:v>
      </x:c>
    </x:row>
    <x:row r="31" ht="30" customHeight="1">
      <x:c r="A31" s="134" t="str">
        <x:v>物品</x:v>
      </x:c>
      <x:c r="B31" s="134" t="str">
        <x:v>I027</x:v>
      </x:c>
      <x:c r="C31" s="134" t="str">
        <x:v>孵化器</x:v>
      </x:c>
      <x:c r="D31" s="134" t="str">
        <x:v>保留</x:v>
      </x:c>
      <x:c r="E31" s="134" t="str">
        <x:v>孵化器</x:v>
      </x:c>
      <x:c r="F31" s="134" t="str">
        <x:v>—</x:v>
      </x:c>
      <x:c r="G31" s="134" t="str">
        <x:v>加热后孵化蛋，保留与烹饪竞争同一原料的选择。</x:v>
      </x:c>
      <x:c r="H31" s="134" t="str">
        <x:v>接触火元素时，进入加热状态。加热后接触蛋时，消耗该蛋，生成1只雏鸟。</x:v>
      </x:c>
      <x:c r="I31" s="134" t="str">
        <x:v>接触火元素时，进入加热状态。加热后接触蛋时，消耗该蛋，生成1只雏鸟。</x:v>
      </x:c>
      <x:c r="J31" s="134" t="str">
        <x:v>V4→V5</x:v>
      </x:c>
    </x:row>
    <x:row r="32" ht="38" customHeight="1">
      <x:c r="A32" s="128" t="str">
        <x:v>物品</x:v>
      </x:c>
      <x:c r="B32" s="128" t="str">
        <x:v>I028</x:v>
      </x:c>
      <x:c r="C32" s="128" t="str">
        <x:v>牧羊犬</x:v>
      </x:c>
      <x:c r="D32" s="128" t="str">
        <x:v>合并</x:v>
      </x:c>
      <x:c r="E32" s="128" t="str">
        <x:v>退出当前目录</x:v>
      </x:c>
      <x:c r="F32" s="128" t="str">
        <x:v>I121 剪毛剪</x:v>
      </x:c>
      <x:c r="G32" s="128" t="str">
        <x:v>给全部动物加分缺少牧羊依据；羊的直接辅助收敛到剪毛剪。</x:v>
      </x:c>
      <x:c r="H32" s="128" t="str">
        <x:v>接触其他动物时，使该动物本回合分值+2；若该动物本回合已生成过物品，自身本回合分值再+2。</x:v>
      </x:c>
      <x:c r="I32" s="128" t="str">
        <x:v>从当前总表和奖励池移除；历史ID保留</x:v>
      </x:c>
      <x:c r="J32" s="128" t="str">
        <x:v>V4→V5</x:v>
      </x:c>
    </x:row>
    <x:row r="33" ht="38" customHeight="1">
      <x:c r="A33" s="134" t="str">
        <x:v>物品</x:v>
      </x:c>
      <x:c r="B33" s="134" t="str">
        <x:v>I029</x:v>
      </x:c>
      <x:c r="C33" s="134" t="str">
        <x:v>蛋托</x:v>
      </x:c>
      <x:c r="D33" s="134" t="str">
        <x:v>保留</x:v>
      </x:c>
      <x:c r="E33" s="134" t="str">
        <x:v>蛋托</x:v>
      </x:c>
      <x:c r="F33" s="134" t="str">
        <x:v>—</x:v>
      </x:c>
      <x:c r="G33" s="134" t="str">
        <x:v>蛋的专用物理支撑物，明确包含双黄蛋。</x:v>
      </x:c>
      <x:c r="H33" s="134" t="str">
        <x:v>结算时，与自身接触的蛋各本回合分值+3；同时与至少2颗蛋接触时，自身本回合分值再+4。</x:v>
      </x:c>
      <x:c r="I33" s="134" t="str">
        <x:v>结算时，与自身接触的蛋各本回合分值+3；同时与至少2颗蛋接触时，自身本回合分值再+4。</x:v>
      </x:c>
      <x:c r="J33" s="134" t="str">
        <x:v>V4→V5</x:v>
      </x:c>
    </x:row>
    <x:row r="34" ht="38" customHeight="1">
      <x:c r="A34" s="128" t="str">
        <x:v>物品</x:v>
      </x:c>
      <x:c r="B34" s="128" t="str">
        <x:v>I030</x:v>
      </x:c>
      <x:c r="C34" s="128" t="str">
        <x:v>牧场牌</x:v>
      </x:c>
      <x:c r="D34" s="128" t="str">
        <x:v>调整</x:v>
      </x:c>
      <x:c r="E34" s="128" t="str">
        <x:v>牧场牌</x:v>
      </x:c>
      <x:c r="F34" s="128" t="str">
        <x:v>—</x:v>
      </x:c>
      <x:c r="G34" s="128" t="str">
        <x:v>蛋与双黄蛋算同一类产物，牧场奖励只作用于家禽家畜。</x:v>
      </x:c>
      <x:c r="H34" s="128" t="str">
        <x:v>结算时，瓶中每有1种蛋、双黄蛋、牛奶或羊毛，使所有存活动物各本回合分值+2。</x:v>
      </x:c>
      <x:c r="I34" s="128" t="str">
        <x:v>结算时，本回合每正常生成过1类牧场产物，所有存活母鸡、奶牛、绵羊与雏鸟的本回合分值+2。</x:v>
      </x:c>
      <x:c r="J34" s="128" t="str">
        <x:v>V4→V5</x:v>
      </x:c>
    </x:row>
    <x:row r="35" ht="30" customHeight="1">
      <x:c r="A35" s="134" t="str">
        <x:v>物品</x:v>
      </x:c>
      <x:c r="B35" s="134" t="str">
        <x:v>I031</x:v>
      </x:c>
      <x:c r="C35" s="134" t="str">
        <x:v>碎石</x:v>
      </x:c>
      <x:c r="D35" s="134" t="str">
        <x:v>调整</x:v>
      </x:c>
      <x:c r="E35" s="134" t="str">
        <x:v>原矿</x:v>
      </x:c>
      <x:c r="F35" s="134" t="str">
        <x:v>—</x:v>
      </x:c>
      <x:c r="G35" s="134" t="str">
        <x:v>普通石头改为含有可提取成分的原矿，支持后续筛矿链。</x:v>
      </x:c>
      <x:c r="H35" s="134" t="str">
        <x:v>被矿业物品消耗时，直接计分3。</x:v>
      </x:c>
      <x:c r="I35" s="134" t="str">
        <x:v>被矿工镐消耗时，直接计分3。</x:v>
      </x:c>
      <x:c r="J35" s="134" t="str">
        <x:v>V4→V5</x:v>
      </x:c>
    </x:row>
    <x:row r="36" ht="30" customHeight="1">
      <x:c r="A36" s="128" t="str">
        <x:v>物品</x:v>
      </x:c>
      <x:c r="B36" s="128" t="str">
        <x:v>I032</x:v>
      </x:c>
      <x:c r="C36" s="128" t="str">
        <x:v>铜矿块</x:v>
      </x:c>
      <x:c r="D36" s="128" t="str">
        <x:v>合并</x:v>
      </x:c>
      <x:c r="E36" s="128" t="str">
        <x:v>退出当前目录</x:v>
      </x:c>
      <x:c r="F36" s="128" t="str">
        <x:v>I033 铁矿块</x:v>
      </x:c>
      <x:c r="G36" s="128" t="str">
        <x:v>接触任意工具增值不合理；金属矿保留有熔炼反馈的铁矿块。</x:v>
      </x:c>
      <x:c r="H36" s="128" t="str">
        <x:v>首次接触工具时，自身本回合分值+2。</x:v>
      </x:c>
      <x:c r="I36" s="128" t="str">
        <x:v>从当前总表和奖励池移除；历史ID保留</x:v>
      </x:c>
      <x:c r="J36" s="128" t="str">
        <x:v>V4→V5</x:v>
      </x:c>
    </x:row>
    <x:row r="37" ht="30" customHeight="1">
      <x:c r="A37" s="134" t="str">
        <x:v>物品</x:v>
      </x:c>
      <x:c r="B37" s="134" t="str">
        <x:v>I033</x:v>
      </x:c>
      <x:c r="C37" s="134" t="str">
        <x:v>铁矿块</x:v>
      </x:c>
      <x:c r="D37" s="134" t="str">
        <x:v>调整</x:v>
      </x:c>
      <x:c r="E37" s="134" t="str">
        <x:v>铁矿块</x:v>
      </x:c>
      <x:c r="F37" s="134" t="str">
        <x:v>—</x:v>
      </x:c>
      <x:c r="G37" s="134" t="str">
        <x:v>铁矿只走明确的熔炼链，不由任意工具接触加分。</x:v>
      </x:c>
      <x:c r="H37" s="134" t="str">
        <x:v>被熔炉消耗时，使该熔炉本回合分值+3。</x:v>
      </x:c>
      <x:c r="I37" s="134" t="str">
        <x:v>被熔炉消耗时，使该熔炉本回合分值+3。</x:v>
      </x:c>
      <x:c r="J37" s="134" t="str">
        <x:v>V4→V5</x:v>
      </x:c>
    </x:row>
    <x:row r="38" ht="30" customHeight="1">
      <x:c r="A38" s="128" t="str">
        <x:v>物品</x:v>
      </x:c>
      <x:c r="B38" s="128" t="str">
        <x:v>I034</x:v>
      </x:c>
      <x:c r="C38" s="128" t="str">
        <x:v>宝石原胚</x:v>
      </x:c>
      <x:c r="D38" s="128" t="str">
        <x:v>调整</x:v>
      </x:c>
      <x:c r="E38" s="128" t="str">
        <x:v>宝石原胚</x:v>
      </x:c>
      <x:c r="F38" s="128" t="str">
        <x:v>—</x:v>
      </x:c>
      <x:c r="G38" s="128" t="str">
        <x:v>加工由切割器执行；不再由鉴定行为消耗原胚、变出宝石。</x:v>
      </x:c>
      <x:c r="H38" s="128" t="str">
        <x:v>接触鉴定师时，消耗自身，生成1颗基础分为8的晶屑。</x:v>
      </x:c>
      <x:c r="I38" s="128" t="str">
        <x:v>可被宝石切割器消耗并加工为晶屑。</x:v>
      </x:c>
      <x:c r="J38" s="128" t="str">
        <x:v>V4→V5</x:v>
      </x:c>
    </x:row>
    <x:row r="39" ht="30" customHeight="1">
      <x:c r="A39" s="134" t="str">
        <x:v>物品</x:v>
      </x:c>
      <x:c r="B39" s="134" t="str">
        <x:v>I035</x:v>
      </x:c>
      <x:c r="C39" s="134" t="str">
        <x:v>采石袋</x:v>
      </x:c>
      <x:c r="D39" s="134" t="str">
        <x:v>调整</x:v>
      </x:c>
      <x:c r="E39" s="134" t="str">
        <x:v>岩脉</x:v>
      </x:c>
      <x:c r="F39" s="134" t="str">
        <x:v>—</x:v>
      </x:c>
      <x:c r="G39" s="134" t="str">
        <x:v>采石袋凭空生石改为矿镐接触岩脉采出原矿。</x:v>
      </x:c>
      <x:c r="H39" s="134" t="str">
        <x:v>接触矿石时，生成1颗小石子。</x:v>
      </x:c>
      <x:c r="I39" s="134" t="str">
        <x:v>接触矿工镐时，生成1块原矿。</x:v>
      </x:c>
      <x:c r="J39" s="134" t="str">
        <x:v>V4→V5</x:v>
      </x:c>
    </x:row>
    <x:row r="40" ht="30" customHeight="1">
      <x:c r="A40" s="128" t="str">
        <x:v>物品</x:v>
      </x:c>
      <x:c r="B40" s="128" t="str">
        <x:v>I036</x:v>
      </x:c>
      <x:c r="C40" s="128" t="str">
        <x:v>矿工镐</x:v>
      </x:c>
      <x:c r="D40" s="128" t="str">
        <x:v>调整</x:v>
      </x:c>
      <x:c r="E40" s="128" t="str">
        <x:v>矿工镐</x:v>
      </x:c>
      <x:c r="F40" s="128" t="str">
        <x:v>—</x:v>
      </x:c>
      <x:c r="G40" s="128" t="str">
        <x:v>采矿只加工原矿，避免把宝石原胚和铁矿无差别敲成石头。</x:v>
      </x:c>
      <x:c r="H40" s="128" t="str">
        <x:v>接触同时具有原料和矿石标签的物品时，消耗该物品，生成2颗小石子。</x:v>
      </x:c>
      <x:c r="I40" s="128" t="str">
        <x:v>接触原矿时，消耗该原矿，生成2份矿砂。</x:v>
      </x:c>
      <x:c r="J40" s="128" t="str">
        <x:v>V4→V5</x:v>
      </x:c>
    </x:row>
    <x:row r="41" ht="30" customHeight="1">
      <x:c r="A41" s="134" t="str">
        <x:v>物品</x:v>
      </x:c>
      <x:c r="B41" s="134" t="str">
        <x:v>I037</x:v>
      </x:c>
      <x:c r="C41" s="134" t="str">
        <x:v>碎石机</x:v>
      </x:c>
      <x:c r="D41" s="134" t="str">
        <x:v>调整</x:v>
      </x:c>
      <x:c r="E41" s="134" t="str">
        <x:v>筛矿机</x:v>
      </x:c>
      <x:c r="F41" s="134" t="str">
        <x:v>—</x:v>
      </x:c>
      <x:c r="G41" s="134" t="str">
        <x:v>筛矿提取矿砂中的晶屑或金砂，比碎石变宝石更符合直觉。</x:v>
      </x:c>
      <x:c r="H41" s="134" t="str">
        <x:v>接触小石子时，消耗该小石子，以75%概率生成1颗晶屑，或以25%概率生成1块金砂。</x:v>
      </x:c>
      <x:c r="I41" s="134" t="str">
        <x:v>接触矿砂时，消耗该矿砂，随机生成1颗晶屑或1份金砂；概率分别为75%和25%。</x:v>
      </x:c>
      <x:c r="J41" s="134" t="str">
        <x:v>V4→V5</x:v>
      </x:c>
    </x:row>
    <x:row r="42" ht="38" customHeight="1">
      <x:c r="A42" s="128" t="str">
        <x:v>物品</x:v>
      </x:c>
      <x:c r="B42" s="128" t="str">
        <x:v>I038</x:v>
      </x:c>
      <x:c r="C42" s="128" t="str">
        <x:v>熔炉</x:v>
      </x:c>
      <x:c r="D42" s="128" t="str">
        <x:v>调整</x:v>
      </x:c>
      <x:c r="E42" s="128" t="str">
        <x:v>熔炉</x:v>
      </x:c>
      <x:c r="F42" s="128" t="str">
        <x:v>—</x:v>
      </x:c>
      <x:c r="G42" s="128" t="str">
        <x:v>熔炉只冶炼铁矿，产物明确为铁锭，不能把岩石和金砂熔成同一种金属。</x:v>
      </x:c>
      <x:c r="H42" s="128" t="str">
        <x:v>接触火元素时，进入点燃状态。点燃后接触矿石时，消耗该矿石，生成1块基础分为10的金属锭。</x:v>
      </x:c>
      <x:c r="I42" s="128" t="str">
        <x:v>接触火元素时，进入点燃状态。点燃后接触铁矿块时，消耗该铁矿块，生成1块铁锭。</x:v>
      </x:c>
      <x:c r="J42" s="128" t="str">
        <x:v>V4→V5</x:v>
      </x:c>
    </x:row>
    <x:row r="43" ht="30" customHeight="1">
      <x:c r="A43" s="134" t="str">
        <x:v>物品</x:v>
      </x:c>
      <x:c r="B43" s="134" t="str">
        <x:v>I039</x:v>
      </x:c>
      <x:c r="C43" s="134" t="str">
        <x:v>铁砧</x:v>
      </x:c>
      <x:c r="D43" s="134" t="str">
        <x:v>合并</x:v>
      </x:c>
      <x:c r="E43" s="134" t="str">
        <x:v>退出当前目录</x:v>
      </x:c>
      <x:c r="F43" s="134" t="str">
        <x:v>I069 磁铁</x:v>
      </x:c>
      <x:c r="G43" s="134" t="str">
        <x:v>与磁铁均为金属接触加分；保留目标明确的磁铁，减少辅助重复。</x:v>
      </x:c>
      <x:c r="H43" s="134" t="str">
        <x:v>接触金属或矿石时，使该物品本回合分值+3。</x:v>
      </x:c>
      <x:c r="I43" s="134" t="str">
        <x:v>从当前总表和奖励池移除；历史ID保留</x:v>
      </x:c>
      <x:c r="J43" s="134" t="str">
        <x:v>V4→V5</x:v>
      </x:c>
    </x:row>
    <x:row r="44" ht="30" customHeight="1">
      <x:c r="A44" s="128" t="str">
        <x:v>物品</x:v>
      </x:c>
      <x:c r="B44" s="128" t="str">
        <x:v>I040</x:v>
      </x:c>
      <x:c r="C44" s="128" t="str">
        <x:v>鉴定师</x:v>
      </x:c>
      <x:c r="D44" s="128" t="str">
        <x:v>调整</x:v>
      </x:c>
      <x:c r="E44" s="128" t="str">
        <x:v>宝石切割器</x:v>
      </x:c>
      <x:c r="F44" s="128" t="str">
        <x:v>—</x:v>
      </x:c>
      <x:c r="G44" s="128" t="str">
        <x:v>鉴定师重做为宝石切割器，承担唯一的原胚加工入口；多种宝石倍率交给遗物。</x:v>
      </x:c>
      <x:c r="H44" s="128" t="str">
        <x:v>结算时，瓶中宝石名称至少3种时，宝石各结算倍率+50%。</x:v>
      </x:c>
      <x:c r="I44" s="128" t="str">
        <x:v>接触宝石原胚时，消耗该宝石原胚，生成1颗基础分为8的晶屑。</x:v>
      </x:c>
      <x:c r="J44" s="128" t="str">
        <x:v>V4→V5</x:v>
      </x:c>
    </x:row>
    <x:row r="45" ht="30" customHeight="1">
      <x:c r="A45" s="134" t="str">
        <x:v>物品</x:v>
      </x:c>
      <x:c r="B45" s="134" t="str">
        <x:v>I041</x:v>
      </x:c>
      <x:c r="C45" s="134" t="str">
        <x:v>火种</x:v>
      </x:c>
      <x:c r="D45" s="134" t="str">
        <x:v>调整</x:v>
      </x:c>
      <x:c r="E45" s="134" t="str">
        <x:v>火种</x:v>
      </x:c>
      <x:c r="F45" s="134" t="str">
        <x:v>—</x:v>
      </x:c>
      <x:c r="G45" s="134" t="str">
        <x:v>火种只提供点火条件，不再给任意碰到的物品加分。</x:v>
      </x:c>
      <x:c r="H45" s="134" t="str">
        <x:v>接触非元素物品时，使该物品本回合分值+2。</x:v>
      </x:c>
      <x:c r="I45" s="134" t="str">
        <x:v>可点亮蜡烛、加热孵化器、点燃熔炉与蒸汽锅炉，也可融化冰块或引燃鞭炮。</x:v>
      </x:c>
      <x:c r="J45" s="134" t="str">
        <x:v>V4→V5</x:v>
      </x:c>
    </x:row>
    <x:row r="46" ht="30" customHeight="1">
      <x:c r="A46" s="128" t="str">
        <x:v>物品</x:v>
      </x:c>
      <x:c r="B46" s="128" t="str">
        <x:v>I042</x:v>
      </x:c>
      <x:c r="C46" s="128" t="str">
        <x:v>冰块</x:v>
      </x:c>
      <x:c r="D46" s="128" t="str">
        <x:v>保留</x:v>
      </x:c>
      <x:c r="E46" s="128" t="str">
        <x:v>冰块</x:v>
      </x:c>
      <x:c r="F46" s="128" t="str">
        <x:v>—</x:v>
      </x:c>
      <x:c r="G46" s="128" t="str">
        <x:v>冰遇火消耗并生成液态水，物态变化直观。</x:v>
      </x:c>
      <x:c r="H46" s="128" t="str">
        <x:v>接触火元素时，消耗自身，生成2颗水珠。</x:v>
      </x:c>
      <x:c r="I46" s="128" t="str">
        <x:v>接触火元素时，消耗自身，生成2颗水珠。</x:v>
      </x:c>
      <x:c r="J46" s="128" t="str">
        <x:v>V4→V5</x:v>
      </x:c>
    </x:row>
    <x:row r="47" ht="30" customHeight="1">
      <x:c r="A47" s="134" t="str">
        <x:v>物品</x:v>
      </x:c>
      <x:c r="B47" s="134" t="str">
        <x:v>I043</x:v>
      </x:c>
      <x:c r="C47" s="134" t="str">
        <x:v>换热器</x:v>
      </x:c>
      <x:c r="D47" s="134" t="str">
        <x:v>合并</x:v>
      </x:c>
      <x:c r="E47" s="134" t="str">
        <x:v>退出当前目录</x:v>
      </x:c>
      <x:c r="F47" s="134" t="str">
        <x:v>I050 蒸汽锅炉</x:v>
      </x:c>
      <x:c r="G47" s="134" t="str">
        <x:v>水变火星违背换热直觉；水与火的加工统一交给蒸汽锅炉。</x:v>
      </x:c>
      <x:c r="H47" s="134" t="str">
        <x:v>接触水珠时，消耗该水珠，临时，生成1颗火星，并直接计分4。</x:v>
      </x:c>
      <x:c r="I47" s="134" t="str">
        <x:v>从当前总表和奖励池移除；历史ID保留</x:v>
      </x:c>
      <x:c r="J47" s="134" t="str">
        <x:v>V4→V5</x:v>
      </x:c>
    </x:row>
    <x:row r="48" ht="38" customHeight="1">
      <x:c r="A48" s="128" t="str">
        <x:v>物品</x:v>
      </x:c>
      <x:c r="B48" s="128" t="str">
        <x:v>I044</x:v>
      </x:c>
      <x:c r="C48" s="128" t="str">
        <x:v>蜡烛</x:v>
      </x:c>
      <x:c r="D48" s="128" t="str">
        <x:v>调整</x:v>
      </x:c>
      <x:c r="E48" s="128" t="str">
        <x:v>蜡烛</x:v>
      </x:c>
      <x:c r="F48" s="128" t="str">
        <x:v>—</x:v>
      </x:c>
      <x:c r="G48" s="128" t="str">
        <x:v>蜡烛只有点亮后才成为火源，状态与可触发的反应一致。</x:v>
      </x:c>
      <x:c r="H48" s="128" t="str">
        <x:v>接触火元素时，进入点亮状态。结算时，若自身已点亮，使与自身接触的非元素物品各结算倍率+50%。</x:v>
      </x:c>
      <x:c r="I48" s="128" t="str">
        <x:v>接触火元素时，进入点亮状态，并在本回合获得火元素标签。结算时，若自身已点亮，使与自身接触的非元素流派物品各结算倍率+50%。</x:v>
      </x:c>
      <x:c r="J48" s="128" t="str">
        <x:v>V4→V5</x:v>
      </x:c>
    </x:row>
    <x:row r="49" ht="38" customHeight="1">
      <x:c r="A49" s="134" t="str">
        <x:v>物品</x:v>
      </x:c>
      <x:c r="B49" s="134" t="str">
        <x:v>I045</x:v>
      </x:c>
      <x:c r="C49" s="134" t="str">
        <x:v>小火山</x:v>
      </x:c>
      <x:c r="D49" s="134" t="str">
        <x:v>调整</x:v>
      </x:c>
      <x:c r="E49" s="134" t="str">
        <x:v>小火山</x:v>
      </x:c>
      <x:c r="F49" s="134" t="str">
        <x:v>—</x:v>
      </x:c>
      <x:c r="G49" s="134" t="str">
        <x:v>火山只将原矿熔化为短期火星，不吞食任意宝石或金属矿。</x:v>
      </x:c>
      <x:c r="H49" s="134" t="str">
        <x:v>接触矿石时，消耗该矿石，临时，生成2颗火星，并直接计分等于该矿石被消耗前的当前分值+4。</x:v>
      </x:c>
      <x:c r="I49" s="134" t="str">
        <x:v>接触原矿时，消耗该原矿，临时生成2颗火星，并直接计分该原矿当前分值+4。</x:v>
      </x:c>
      <x:c r="J49" s="134" t="str">
        <x:v>V4→V5</x:v>
      </x:c>
    </x:row>
    <x:row r="50" ht="30" customHeight="1">
      <x:c r="A50" s="128" t="str">
        <x:v>物品</x:v>
      </x:c>
      <x:c r="B50" s="128" t="str">
        <x:v>I046</x:v>
      </x:c>
      <x:c r="C50" s="128" t="str">
        <x:v>泉眼</x:v>
      </x:c>
      <x:c r="D50" s="128" t="str">
        <x:v>合并</x:v>
      </x:c>
      <x:c r="E50" s="128" t="str">
        <x:v>退出当前目录</x:v>
      </x:c>
      <x:c r="F50" s="128" t="str">
        <x:v>I011 雨云</x:v>
      </x:c>
      <x:c r="G50" s="128" t="str">
        <x:v>接触矿石生水缺少依据，且重复免费供水；保留雨云。</x:v>
      </x:c>
      <x:c r="H50" s="128" t="str">
        <x:v>接触矿石时，生成1颗水珠；接触植物时，使该植物本回合分值+2。</x:v>
      </x:c>
      <x:c r="I50" s="128" t="str">
        <x:v>从当前总表和奖励池移除；历史ID保留</x:v>
      </x:c>
      <x:c r="J50" s="128" t="str">
        <x:v>V4→V5</x:v>
      </x:c>
    </x:row>
    <x:row r="51" ht="30" customHeight="1">
      <x:c r="A51" s="134" t="str">
        <x:v>物品</x:v>
      </x:c>
      <x:c r="B51" s="134" t="str">
        <x:v>I047</x:v>
      </x:c>
      <x:c r="C51" s="134" t="str">
        <x:v>火把</x:v>
      </x:c>
      <x:c r="D51" s="134" t="str">
        <x:v>合并</x:v>
      </x:c>
      <x:c r="E51" s="134" t="str">
        <x:v>退出当前目录</x:v>
      </x:c>
      <x:c r="F51" s="134" t="str">
        <x:v>I041 火种</x:v>
      </x:c>
      <x:c r="G51" s="134" t="str">
        <x:v>任意物品接触后变为火元素会让金属、水果充当火源；保留真实火源。</x:v>
      </x:c>
      <x:c r="H51" s="134" t="str">
        <x:v>接触非元素物品时，使该物品本回合获得火元素标签。</x:v>
      </x:c>
      <x:c r="I51" s="134" t="str">
        <x:v>从当前总表和奖励池移除；历史ID保留</x:v>
      </x:c>
      <x:c r="J51" s="134" t="str">
        <x:v>V4→V5</x:v>
      </x:c>
    </x:row>
    <x:row r="52" ht="30" customHeight="1">
      <x:c r="A52" s="128" t="str">
        <x:v>物品</x:v>
      </x:c>
      <x:c r="B52" s="128" t="str">
        <x:v>I048</x:v>
      </x:c>
      <x:c r="C52" s="128" t="str">
        <x:v>风箱</x:v>
      </x:c>
      <x:c r="D52" s="128" t="str">
        <x:v>保留</x:v>
      </x:c>
      <x:c r="E52" s="128" t="str">
        <x:v>风箱</x:v>
      </x:c>
      <x:c r="F52" s="128" t="str">
        <x:v>—</x:v>
      </x:c>
      <x:c r="G52" s="128" t="str">
        <x:v>风箱助燃，只增强火元素。</x:v>
      </x:c>
      <x:c r="H52" s="128" t="str">
        <x:v>接触火元素时，双方本回合分值各+2。</x:v>
      </x:c>
      <x:c r="I52" s="128" t="str">
        <x:v>接触火元素时，双方本回合分值各+2。</x:v>
      </x:c>
      <x:c r="J52" s="128" t="str">
        <x:v>V4→V5</x:v>
      </x:c>
    </x:row>
    <x:row r="53" ht="30" customHeight="1">
      <x:c r="A53" s="134" t="str">
        <x:v>物品</x:v>
      </x:c>
      <x:c r="B53" s="134" t="str">
        <x:v>I049</x:v>
      </x:c>
      <x:c r="C53" s="134" t="str">
        <x:v>鞭炮</x:v>
      </x:c>
      <x:c r="D53" s="134" t="str">
        <x:v>保留</x:v>
      </x:c>
      <x:c r="E53" s="134" t="str">
        <x:v>鞭炮</x:v>
      </x:c>
      <x:c r="F53" s="134" t="str">
        <x:v>—</x:v>
      </x:c>
      <x:c r="G53" s="134" t="str">
        <x:v>火点燃鞭炮，自身永久消耗、礼花临时存在。</x:v>
      </x:c>
      <x:c r="H53" s="134" t="str">
        <x:v>接触火元素时，消耗自身，临时，生成3颗礼花。</x:v>
      </x:c>
      <x:c r="I53" s="134" t="str">
        <x:v>接触火元素时，消耗自身，临时生成3颗礼花。</x:v>
      </x:c>
      <x:c r="J53" s="134" t="str">
        <x:v>V4→V5</x:v>
      </x:c>
    </x:row>
    <x:row r="54" ht="38" customHeight="1">
      <x:c r="A54" s="128" t="str">
        <x:v>物品</x:v>
      </x:c>
      <x:c r="B54" s="128" t="str">
        <x:v>I050</x:v>
      </x:c>
      <x:c r="C54" s="128" t="str">
        <x:v>蒸汽锅炉</x:v>
      </x:c>
      <x:c r="D54" s="128" t="str">
        <x:v>调整</x:v>
      </x:c>
      <x:c r="E54" s="128" t="str">
        <x:v>蒸汽锅炉</x:v>
      </x:c>
      <x:c r="F54" s="128" t="str">
        <x:v>—</x:v>
      </x:c>
      <x:c r="G54" s="128" t="str">
        <x:v>锅炉只消耗液态水珠，不把冰块或蒸汽再次当水使用。</x:v>
      </x:c>
      <x:c r="H54" s="128" t="str">
        <x:v>接触火元素时，进入点燃状态。点燃后接触水珠时，消耗该水珠，临时，生成1团蒸汽。</x:v>
      </x:c>
      <x:c r="I54" s="128" t="str">
        <x:v>接触火元素时，进入点燃状态。点燃后接触水珠时，消耗该水珠，临时生成1团蒸汽。</x:v>
      </x:c>
      <x:c r="J54" s="128" t="str">
        <x:v>V4→V5</x:v>
      </x:c>
    </x:row>
    <x:row r="55" ht="30" customHeight="1">
      <x:c r="A55" s="134" t="str">
        <x:v>物品</x:v>
      </x:c>
      <x:c r="B55" s="134" t="str">
        <x:v>I051</x:v>
      </x:c>
      <x:c r="C55" s="134" t="str">
        <x:v>金币</x:v>
      </x:c>
      <x:c r="D55" s="134" t="str">
        <x:v>保留</x:v>
      </x:c>
      <x:c r="E55" s="134" t="str">
        <x:v>金币</x:v>
      </x:c>
      <x:c r="F55" s="134" t="str">
        <x:v>—</x:v>
      </x:c>
      <x:c r="G55" s="134" t="str">
        <x:v>作为货币接收目标，鼓励主动接触集市物品。</x:v>
      </x:c>
      <x:c r="H55" s="134" t="str">
        <x:v>结算时，本回合接触过集市物品时，自身本回合分值+2。</x:v>
      </x:c>
      <x:c r="I55" s="134" t="str">
        <x:v>结算时，本回合接触过集市物品时，自身本回合分值+2。</x:v>
      </x:c>
      <x:c r="J55" s="134" t="str">
        <x:v>V4→V5</x:v>
      </x:c>
    </x:row>
    <x:row r="56" ht="30" customHeight="1">
      <x:c r="A56" s="128" t="str">
        <x:v>物品</x:v>
      </x:c>
      <x:c r="B56" s="128" t="str">
        <x:v>I052</x:v>
      </x:c>
      <x:c r="C56" s="128" t="str">
        <x:v>招财猪</x:v>
      </x:c>
      <x:c r="D56" s="128" t="str">
        <x:v>调整</x:v>
      </x:c>
      <x:c r="E56" s="128" t="str">
        <x:v>招财猪</x:v>
      </x:c>
      <x:c r="F56" s="128" t="str">
        <x:v>—</x:v>
      </x:c>
      <x:c r="G56" s="128" t="str">
        <x:v>招财猪是存钱摆件，不应被动物图鉴、牧场铃铛当作活猪。</x:v>
      </x:c>
      <x:c r="H56" s="128" t="str">
        <x:v>接触货币时，使该货币本回合分值+3，自身本回合分值+2。</x:v>
      </x:c>
      <x:c r="I56" s="128" t="str">
        <x:v>接触货币时，使该货币本回合分值+3，自身本回合分值+2。</x:v>
      </x:c>
      <x:c r="J56" s="128" t="str">
        <x:v>V4→V5</x:v>
      </x:c>
    </x:row>
    <x:row r="57" ht="30" customHeight="1">
      <x:c r="A57" s="134" t="str">
        <x:v>物品</x:v>
      </x:c>
      <x:c r="B57" s="134" t="str">
        <x:v>I053</x:v>
      </x:c>
      <x:c r="C57" s="134" t="str">
        <x:v>海绵</x:v>
      </x:c>
      <x:c r="D57" s="134" t="str">
        <x:v>调整</x:v>
      </x:c>
      <x:c r="E57" s="134" t="str">
        <x:v>海绵</x:v>
      </x:c>
      <x:c r="F57" s="134" t="str">
        <x:v>—</x:v>
      </x:c>
      <x:c r="G57" s="134" t="str">
        <x:v>海绵只吸收水珠，避免吸收冰块或蒸汽。</x:v>
      </x:c>
      <x:c r="H57" s="134" t="str">
        <x:v>接触水珠时，消耗该水珠，自身本回合分值+5。</x:v>
      </x:c>
      <x:c r="I57" s="134" t="str">
        <x:v>接触水珠时，消耗该水珠，自身本回合分值+5。</x:v>
      </x:c>
      <x:c r="J57" s="134" t="str">
        <x:v>V4→V5</x:v>
      </x:c>
    </x:row>
    <x:row r="58" ht="30" customHeight="1">
      <x:c r="A58" s="128" t="str">
        <x:v>物品</x:v>
      </x:c>
      <x:c r="B58" s="128" t="str">
        <x:v>I054</x:v>
      </x:c>
      <x:c r="C58" s="128" t="str">
        <x:v>回收桶</x:v>
      </x:c>
      <x:c r="D58" s="128" t="str">
        <x:v>调整</x:v>
      </x:c>
      <x:c r="E58" s="128" t="str">
        <x:v>回收桶</x:v>
      </x:c>
      <x:c r="F58" s="128" t="str">
        <x:v>—</x:v>
      </x:c>
      <x:c r="G58" s="128" t="str">
        <x:v>合并拾荒者的低值清理入口，明确名单，不吞掉有功能的任意商品。</x:v>
      </x:c>
      <x:c r="H58" s="128" t="str">
        <x:v>接触小石子、废料或饼干屑时，消耗该物品，直接计分5。</x:v>
      </x:c>
      <x:c r="I58" s="128" t="str">
        <x:v>接触矿砂、铁屑、饼干屑或纪念票时，消耗该物品，直接计分5。</x:v>
      </x:c>
      <x:c r="J58" s="128" t="str">
        <x:v>V4→V5</x:v>
      </x:c>
    </x:row>
    <x:row r="59" ht="30" customHeight="1">
      <x:c r="A59" s="134" t="str">
        <x:v>物品</x:v>
      </x:c>
      <x:c r="B59" s="134" t="str">
        <x:v>I055</x:v>
      </x:c>
      <x:c r="C59" s="134" t="str">
        <x:v>钱包</x:v>
      </x:c>
      <x:c r="D59" s="134" t="str">
        <x:v>保留</x:v>
      </x:c>
      <x:c r="E59" s="134" t="str">
        <x:v>钱包</x:v>
      </x:c>
      <x:c r="F59" s="134" t="str">
        <x:v>—</x:v>
      </x:c>
      <x:c r="G59" s="134" t="str">
        <x:v>货币长期成长，区别于招财猪本回合加分。</x:v>
      </x:c>
      <x:c r="H59" s="134" t="str">
        <x:v>接触货币时，使该货币永久基础分+1。</x:v>
      </x:c>
      <x:c r="I59" s="134" t="str">
        <x:v>接触货币时，使该货币永久基础分+1。</x:v>
      </x:c>
      <x:c r="J59" s="134" t="str">
        <x:v>V4→V5</x:v>
      </x:c>
    </x:row>
    <x:row r="60" ht="30" customHeight="1">
      <x:c r="A60" s="128" t="str">
        <x:v>物品</x:v>
      </x:c>
      <x:c r="B60" s="128" t="str">
        <x:v>I056</x:v>
      </x:c>
      <x:c r="C60" s="128" t="str">
        <x:v>收银机</x:v>
      </x:c>
      <x:c r="D60" s="128" t="str">
        <x:v>合并</x:v>
      </x:c>
      <x:c r="E60" s="128" t="str">
        <x:v>退出当前目录</x:v>
      </x:c>
      <x:c r="F60" s="128" t="str">
        <x:v>I060 拍卖槌</x:v>
      </x:c>
      <x:c r="G60" s="128" t="str">
        <x:v>商品不离场也能被收银计分，交易反馈不清；销售收敛为拍卖槌消耗商品。</x:v>
      </x:c>
      <x:c r="H60" s="128" t="str">
        <x:v>接触商品时，直接计分等于该商品的当前分值。</x:v>
      </x:c>
      <x:c r="I60" s="128" t="str">
        <x:v>从当前总表和奖励池移除；历史ID保留</x:v>
      </x:c>
      <x:c r="J60" s="128" t="str">
        <x:v>V4→V5</x:v>
      </x:c>
    </x:row>
    <x:row r="61" ht="30" customHeight="1">
      <x:c r="A61" s="134" t="str">
        <x:v>物品</x:v>
      </x:c>
      <x:c r="B61" s="134" t="str">
        <x:v>I057</x:v>
      </x:c>
      <x:c r="C61" s="134" t="str">
        <x:v>金算盘</x:v>
      </x:c>
      <x:c r="D61" s="134" t="str">
        <x:v>保留</x:v>
      </x:c>
      <x:c r="E61" s="134" t="str">
        <x:v>金算盘</x:v>
      </x:c>
      <x:c r="F61" s="134" t="str">
        <x:v>—</x:v>
      </x:c>
      <x:c r="G61" s="134" t="str">
        <x:v>货币阵容带来自身长期成长，不重复钱包的目标成长。</x:v>
      </x:c>
      <x:c r="H61" s="134" t="str">
        <x:v>结算结束时，瓶中有至少3件货币且自身存活时，自身永久基础分+1。</x:v>
      </x:c>
      <x:c r="I61" s="134" t="str">
        <x:v>结算结束时，瓶中有至少3件货币且自身存活时，自身永久基础分+1。</x:v>
      </x:c>
      <x:c r="J61" s="134" t="str">
        <x:v>V4→V5</x:v>
      </x:c>
    </x:row>
    <x:row r="62" ht="38" customHeight="1">
      <x:c r="A62" s="128" t="str">
        <x:v>物品</x:v>
      </x:c>
      <x:c r="B62" s="128" t="str">
        <x:v>I058</x:v>
      </x:c>
      <x:c r="C62" s="128" t="str">
        <x:v>货架</x:v>
      </x:c>
      <x:c r="D62" s="128" t="str">
        <x:v>保留</x:v>
      </x:c>
      <x:c r="E62" s="128" t="str">
        <x:v>货架</x:v>
      </x:c>
      <x:c r="F62" s="128" t="str">
        <x:v>—</x:v>
      </x:c>
      <x:c r="G62" s="128" t="str">
        <x:v>唯一通用商品展示设施，要求冻结时接触。</x:v>
      </x:c>
      <x:c r="H62" s="128" t="str">
        <x:v>结算时，与自身接触的商品各本回合分值+3；这些商品至少有3种不同名称时，自身本回合分值再+6。</x:v>
      </x:c>
      <x:c r="I62" s="128" t="str">
        <x:v>结算时，与自身接触的商品各本回合分值+3；这些商品至少有3种不同名称时，自身本回合分值再+6。</x:v>
      </x:c>
      <x:c r="J62" s="128" t="str">
        <x:v>V4→V5</x:v>
      </x:c>
    </x:row>
    <x:row r="63" ht="30" customHeight="1">
      <x:c r="A63" s="134" t="str">
        <x:v>物品</x:v>
      </x:c>
      <x:c r="B63" s="134" t="str">
        <x:v>I059</x:v>
      </x:c>
      <x:c r="C63" s="134" t="str">
        <x:v>宝石展台</x:v>
      </x:c>
      <x:c r="D63" s="134" t="str">
        <x:v>合并</x:v>
      </x:c>
      <x:c r="E63" s="134" t="str">
        <x:v>退出当前目录</x:v>
      </x:c>
      <x:c r="F63" s="134" t="str">
        <x:v>I058 货架</x:v>
      </x:c>
      <x:c r="G63" s="134" t="str">
        <x:v>与货架重复展示商品；宝石倍率由七彩折射承担，不再另设展台。</x:v>
      </x:c>
      <x:c r="H63" s="134" t="str">
        <x:v>结算时，与自身接触的宝石各结算倍率+50%。</x:v>
      </x:c>
      <x:c r="I63" s="134" t="str">
        <x:v>从当前总表和奖励池移除；历史ID保留</x:v>
      </x:c>
      <x:c r="J63" s="134" t="str">
        <x:v>V4→V5</x:v>
      </x:c>
    </x:row>
    <x:row r="64" ht="30" customHeight="1">
      <x:c r="A64" s="128" t="str">
        <x:v>物品</x:v>
      </x:c>
      <x:c r="B64" s="128" t="str">
        <x:v>I060</x:v>
      </x:c>
      <x:c r="C64" s="128" t="str">
        <x:v>拍卖槌</x:v>
      </x:c>
      <x:c r="D64" s="128" t="str">
        <x:v>保留</x:v>
      </x:c>
      <x:c r="E64" s="128" t="str">
        <x:v>拍卖槌</x:v>
      </x:c>
      <x:c r="F64" s="128" t="str">
        <x:v>—</x:v>
      </x:c>
      <x:c r="G64" s="128" t="str">
        <x:v>牺牲高价值商品换三倍直接计分，与持有展示分工清楚。</x:v>
      </x:c>
      <x:c r="H64" s="128" t="str">
        <x:v>接触基础分至少为8的商品时，消耗该商品，直接计分等于其被消耗前的当前分值×3。</x:v>
      </x:c>
      <x:c r="I64" s="128" t="str">
        <x:v>接触基础分至少为8的商品时，消耗该商品，直接计分等于其被消耗前的当前分值×3。</x:v>
      </x:c>
      <x:c r="J64" s="128" t="str">
        <x:v>V4→V5</x:v>
      </x:c>
    </x:row>
    <x:row r="65" ht="30" customHeight="1">
      <x:c r="A65" s="134" t="str">
        <x:v>物品</x:v>
      </x:c>
      <x:c r="B65" s="134" t="str">
        <x:v>I061</x:v>
      </x:c>
      <x:c r="C65" s="134" t="str">
        <x:v>小电池</x:v>
      </x:c>
      <x:c r="D65" s="134" t="str">
        <x:v>保留</x:v>
      </x:c>
      <x:c r="E65" s="134" t="str">
        <x:v>小电池</x:v>
      </x:c>
      <x:c r="F65" s="134" t="str">
        <x:v>—</x:v>
      </x:c>
      <x:c r="G65" s="134" t="str">
        <x:v>有限电量主动补能，不能自己被充电，不形成无限电源。</x:v>
      </x:c>
      <x:c r="H65" s="134" t="str">
        <x:v>初始电量为3。接触充能物品时，花费1电量，使该物品充能+1。</x:v>
      </x:c>
      <x:c r="I65" s="134" t="str">
        <x:v>初始电量为3。接触充能物品时，花费1电量，使该物品充能+1。</x:v>
      </x:c>
      <x:c r="J65" s="134" t="str">
        <x:v>V4→V5</x:v>
      </x:c>
    </x:row>
    <x:row r="66" ht="30" customHeight="1">
      <x:c r="A66" s="128" t="str">
        <x:v>物品</x:v>
      </x:c>
      <x:c r="B66" s="128" t="str">
        <x:v>I062</x:v>
      </x:c>
      <x:c r="C66" s="128" t="str">
        <x:v>发条玩具</x:v>
      </x:c>
      <x:c r="D66" s="128" t="str">
        <x:v>调整</x:v>
      </x:c>
      <x:c r="E66" s="128" t="str">
        <x:v>电动玩具</x:v>
      </x:c>
      <x:c r="F66" s="128" t="str">
        <x:v>—</x:v>
      </x:c>
      <x:c r="G66" s="128" t="str">
        <x:v>电池驱动的玩具改名电动玩具，避免电力和发条的语义冲突。</x:v>
      </x:c>
      <x:c r="H66" s="128" t="str">
        <x:v>初始充能为2。接触其他物品时，花费1充能，自身本回合分值+3。</x:v>
      </x:c>
      <x:c r="I66" s="128" t="str">
        <x:v>初始充能为2。接触其他物品时，花费1充能，自身本回合分值+3。</x:v>
      </x:c>
      <x:c r="J66" s="128" t="str">
        <x:v>V4→V5</x:v>
      </x:c>
    </x:row>
    <x:row r="67" ht="30" customHeight="1">
      <x:c r="A67" s="134" t="str">
        <x:v>物品</x:v>
      </x:c>
      <x:c r="B67" s="134" t="str">
        <x:v>I063</x:v>
      </x:c>
      <x:c r="C67" s="134" t="str">
        <x:v>转子发电机</x:v>
      </x:c>
      <x:c r="D67" s="134" t="str">
        <x:v>合并</x:v>
      </x:c>
      <x:c r="E67" s="134" t="str">
        <x:v>退出当前目录</x:v>
      </x:c>
      <x:c r="F67" s="134" t="str">
        <x:v>I061 小电池</x:v>
      </x:c>
      <x:c r="G67" s="134" t="str">
        <x:v>接触工具本身不是发电条件；补能由小电池与雷晶石承担。</x:v>
      </x:c>
      <x:c r="H67" s="134" t="str">
        <x:v>接触工具时，使与自身接触的1件充能物品充能+1。</x:v>
      </x:c>
      <x:c r="I67" s="134" t="str">
        <x:v>从当前总表和奖励池移除；历史ID保留</x:v>
      </x:c>
      <x:c r="J67" s="134" t="str">
        <x:v>V4→V5</x:v>
      </x:c>
    </x:row>
    <x:row r="68" ht="38" customHeight="1">
      <x:c r="A68" s="128" t="str">
        <x:v>物品</x:v>
      </x:c>
      <x:c r="B68" s="128" t="str">
        <x:v>I064</x:v>
      </x:c>
      <x:c r="C68" s="128" t="str">
        <x:v>电容罐</x:v>
      </x:c>
      <x:c r="D68" s="128" t="str">
        <x:v>保留</x:v>
      </x:c>
      <x:c r="E68" s="128" t="str">
        <x:v>电容罐</x:v>
      </x:c>
      <x:c r="F68" s="128" t="str">
        <x:v>—</x:v>
      </x:c>
      <x:c r="G68" s="128" t="str">
        <x:v>留存电量计分，与电动玩具耗能计分方向相反。</x:v>
      </x:c>
      <x:c r="H68" s="128" t="str">
        <x:v>初始充能为0。每实际获得1充能，自身本回合分值+1。结算时，每剩余1充能，自身本回合分值再+3。</x:v>
      </x:c>
      <x:c r="I68" s="128" t="str">
        <x:v>初始充能为0。每实际获得1充能，自身本回合分值+1。结算时，每剩余1充能，自身本回合分值再+3。</x:v>
      </x:c>
      <x:c r="J68" s="128" t="str">
        <x:v>V4→V5</x:v>
      </x:c>
    </x:row>
    <x:row r="69" ht="30" customHeight="1">
      <x:c r="A69" s="134" t="str">
        <x:v>物品</x:v>
      </x:c>
      <x:c r="B69" s="134" t="str">
        <x:v>I065</x:v>
      </x:c>
      <x:c r="C69" s="134" t="str">
        <x:v>插座</x:v>
      </x:c>
      <x:c r="D69" s="134" t="str">
        <x:v>合并</x:v>
      </x:c>
      <x:c r="E69" s="134" t="str">
        <x:v>退出当前目录</x:v>
      </x:c>
      <x:c r="F69" s="134" t="str">
        <x:v>I061 小电池</x:v>
      </x:c>
      <x:c r="G69" s="134" t="str">
        <x:v>插座给非机械物品加分不直观，改为保留实际补能电源。</x:v>
      </x:c>
      <x:c r="H69" s="134" t="str">
        <x:v>初始充能为2。接触非机械物品时，花费1充能，使该物品本回合分值+4。</x:v>
      </x:c>
      <x:c r="I69" s="134" t="str">
        <x:v>从当前总表和奖励池移除；历史ID保留</x:v>
      </x:c>
      <x:c r="J69" s="134" t="str">
        <x:v>V4→V5</x:v>
      </x:c>
    </x:row>
    <x:row r="70" ht="30" customHeight="1">
      <x:c r="A70" s="128" t="str">
        <x:v>物品</x:v>
      </x:c>
      <x:c r="B70" s="128" t="str">
        <x:v>I066</x:v>
      </x:c>
      <x:c r="C70" s="128" t="str">
        <x:v>冷却柜</x:v>
      </x:c>
      <x:c r="D70" s="128" t="str">
        <x:v>合并</x:v>
      </x:c>
      <x:c r="E70" s="128" t="str">
        <x:v>退出当前目录</x:v>
      </x:c>
      <x:c r="F70" s="128" t="str">
        <x:v>I064 电容罐</x:v>
      </x:c>
      <x:c r="G70" s="128" t="str">
        <x:v>电量耗尽并不代表需要冷却；删除缺乏过热规则支撑的额外机制。</x:v>
      </x:c>
      <x:c r="H70" s="128" t="str">
        <x:v>初始充能为2。接触充能为0的其他充能物品时，花费1充能，使该物品本回合分值+6。</x:v>
      </x:c>
      <x:c r="I70" s="128" t="str">
        <x:v>从当前总表和奖励池移除；历史ID保留</x:v>
      </x:c>
      <x:c r="J70" s="128" t="str">
        <x:v>V4→V5</x:v>
      </x:c>
    </x:row>
    <x:row r="71" ht="38" customHeight="1">
      <x:c r="A71" s="134" t="str">
        <x:v>物品</x:v>
      </x:c>
      <x:c r="B71" s="134" t="str">
        <x:v>I067</x:v>
      </x:c>
      <x:c r="C71" s="134" t="str">
        <x:v>复印机</x:v>
      </x:c>
      <x:c r="D71" s="134" t="str">
        <x:v>保留</x:v>
      </x:c>
      <x:c r="E71" s="134" t="str">
        <x:v>复印机</x:v>
      </x:c>
      <x:c r="F71" s="134" t="str">
        <x:v>—</x:v>
      </x:c>
      <x:c r="G71" s="134" t="str">
        <x:v>消耗充能生成临时纸影，不复制原技能或永久牌库物品。</x:v>
      </x:c>
      <x:c r="H71" s="134" t="str">
        <x:v>初始充能为2。接触商品时，花费1充能，临时，生成1张纸影；纸影基础分等于该商品当前分值，上限12。</x:v>
      </x:c>
      <x:c r="I71" s="134" t="str">
        <x:v>初始充能为2。接触商品时，花费1充能，临时生成1张纸影；纸影基础分等于该商品当前分值，上限12。</x:v>
      </x:c>
      <x:c r="J71" s="134" t="str">
        <x:v>V4→V5</x:v>
      </x:c>
    </x:row>
    <x:row r="72" ht="30" customHeight="1">
      <x:c r="A72" s="128" t="str">
        <x:v>物品</x:v>
      </x:c>
      <x:c r="B72" s="128" t="str">
        <x:v>I068</x:v>
      </x:c>
      <x:c r="C72" s="128" t="str">
        <x:v>弹簧台</x:v>
      </x:c>
      <x:c r="D72" s="128" t="str">
        <x:v>保留</x:v>
      </x:c>
      <x:c r="E72" s="128" t="str">
        <x:v>弹簧台</x:v>
      </x:c>
      <x:c r="F72" s="128" t="str">
        <x:v>—</x:v>
      </x:c>
      <x:c r="G72" s="128" t="str">
        <x:v>接触后弹开，具备其他增值物品没有的空间操作作用。</x:v>
      </x:c>
      <x:c r="H72" s="128" t="str">
        <x:v>接触其他物品时，使该物品本回合分值+1，并将其轻推离自身。</x:v>
      </x:c>
      <x:c r="I72" s="128" t="str">
        <x:v>接触其他物品时，使该物品本回合分值+1，并将其轻推离自身。</x:v>
      </x:c>
      <x:c r="J72" s="128" t="str">
        <x:v>V4→V5</x:v>
      </x:c>
    </x:row>
    <x:row r="73" ht="30" customHeight="1">
      <x:c r="A73" s="134" t="str">
        <x:v>物品</x:v>
      </x:c>
      <x:c r="B73" s="134" t="str">
        <x:v>I069</x:v>
      </x:c>
      <x:c r="C73" s="134" t="str">
        <x:v>磁铁</x:v>
      </x:c>
      <x:c r="D73" s="134" t="str">
        <x:v>调整</x:v>
      </x:c>
      <x:c r="E73" s="134" t="str">
        <x:v>磁铁</x:v>
      </x:c>
      <x:c r="F73" s="134" t="str">
        <x:v>—</x:v>
      </x:c>
      <x:c r="G73" s="134" t="str">
        <x:v>仅作用于明确的含铁物品；不因金属标签而吸引金币、金砂或奖杯。</x:v>
      </x:c>
      <x:c r="H73" s="134" t="str">
        <x:v>结算时，与自身接触的金属各本回合分值+3，每个目标同时使磁铁本回合分值+1。</x:v>
      </x:c>
      <x:c r="I73" s="134" t="str">
        <x:v>接触铁矿块、铁锭或铁屑时，该目标本回合分值+3，自身本回合分值+1。</x:v>
      </x:c>
      <x:c r="J73" s="134" t="str">
        <x:v>V4→V5</x:v>
      </x:c>
    </x:row>
    <x:row r="74" ht="38" customHeight="1">
      <x:c r="A74" s="128" t="str">
        <x:v>物品</x:v>
      </x:c>
      <x:c r="B74" s="128" t="str">
        <x:v>I070</x:v>
      </x:c>
      <x:c r="C74" s="128" t="str">
        <x:v>计数盘</x:v>
      </x:c>
      <x:c r="D74" s="128" t="str">
        <x:v>调整</x:v>
      </x:c>
      <x:c r="E74" s="128" t="str">
        <x:v>计数盘</x:v>
      </x:c>
      <x:c r="F74" s="128" t="str">
        <x:v>—</x:v>
      </x:c>
      <x:c r="G74" s="128" t="str">
        <x:v>计数盘统计所有其他物品，移除没有解释的非机械排除条件。</x:v>
      </x:c>
      <x:c r="H74" s="128" t="str">
        <x:v>结算时，瓶中每有1件存活的非机械物品，自身本回合分值+1；这些物品至少有8种不同名称时，自身本回合分值再+8。</x:v>
      </x:c>
      <x:c r="I74" s="128" t="str">
        <x:v>结算时，瓶中每有1件其他物品，自身本回合分值+1；这些物品至少有8种不同名称时，自身本回合分值再+8。</x:v>
      </x:c>
      <x:c r="J74" s="128" t="str">
        <x:v>V4→V5</x:v>
      </x:c>
    </x:row>
    <x:row r="75" ht="30" customHeight="1">
      <x:c r="A75" s="134" t="str">
        <x:v>物品</x:v>
      </x:c>
      <x:c r="B75" s="134" t="str">
        <x:v>I071</x:v>
      </x:c>
      <x:c r="C75" s="134" t="str">
        <x:v>灵魂罐</x:v>
      </x:c>
      <x:c r="D75" s="134" t="str">
        <x:v>调整</x:v>
      </x:c>
      <x:c r="E75" s="134" t="str">
        <x:v>灵魂罐</x:v>
      </x:c>
      <x:c r="F75" s="134" t="str">
        <x:v>—</x:v>
      </x:c>
      <x:c r="G75" s="134" t="str">
        <x:v>由明确的灵魂媒介开启，不因任何轻微接触就永久损失容器。</x:v>
      </x:c>
      <x:c r="H75" s="134" t="str">
        <x:v>首次接触其他物品时，消耗自身，生成2个幽灵。</x:v>
      </x:c>
      <x:c r="I75" s="134" t="str">
        <x:v>接触灵魂石或引魂灯时，消耗自身，生成2个幽灵。</x:v>
      </x:c>
      <x:c r="J75" s="134" t="str">
        <x:v>V4→V5</x:v>
      </x:c>
    </x:row>
    <x:row r="76" ht="38" customHeight="1">
      <x:c r="A76" s="128" t="str">
        <x:v>物品</x:v>
      </x:c>
      <x:c r="B76" s="128" t="str">
        <x:v>I072</x:v>
      </x:c>
      <x:c r="C76" s="128" t="str">
        <x:v>墓碑</x:v>
      </x:c>
      <x:c r="D76" s="128" t="str">
        <x:v>保留</x:v>
      </x:c>
      <x:c r="E76" s="128" t="str">
        <x:v>墓碑</x:v>
      </x:c>
      <x:c r="F76" s="128" t="str">
        <x:v>—</x:v>
      </x:c>
      <x:c r="G76" s="128" t="str">
        <x:v>接触幽灵培育墓碑，灵魂主题下因果一致。</x:v>
      </x:c>
      <x:c r="H76" s="128" t="str">
        <x:v>接触幽灵时，自身本回合分值+2。结算结束时，若自身存活，且本回合接触过至少3个不同幽灵，自身永久基础分+1。</x:v>
      </x:c>
      <x:c r="I76" s="128" t="str">
        <x:v>接触幽灵时，自身本回合分值+2。结算结束时，若自身存活，且本回合接触过至少3个不同幽灵，自身永久基础分+1。</x:v>
      </x:c>
      <x:c r="J76" s="128" t="str">
        <x:v>V4→V5</x:v>
      </x:c>
    </x:row>
    <x:row r="77" ht="30" customHeight="1">
      <x:c r="A77" s="134" t="str">
        <x:v>物品</x:v>
      </x:c>
      <x:c r="B77" s="134" t="str">
        <x:v>I073</x:v>
      </x:c>
      <x:c r="C77" s="134" t="str">
        <x:v>灵魂石</x:v>
      </x:c>
      <x:c r="D77" s="134" t="str">
        <x:v>保留</x:v>
      </x:c>
      <x:c r="E77" s="134" t="str">
        <x:v>灵魂石</x:v>
      </x:c>
      <x:c r="F77" s="134" t="str">
        <x:v>—</x:v>
      </x:c>
      <x:c r="G77" s="134" t="str">
        <x:v>消耗幽灵转为自身分值，与保留幽灵结算存在取舍。</x:v>
      </x:c>
      <x:c r="H77" s="134" t="str">
        <x:v>接触幽灵时，消耗该幽灵，自身本回合分值增加（该幽灵被消耗前的当前分值+3）。</x:v>
      </x:c>
      <x:c r="I77" s="134" t="str">
        <x:v>接触幽灵时，消耗该幽灵，自身本回合分值增加（该幽灵被消耗前的当前分值+3）。</x:v>
      </x:c>
      <x:c r="J77" s="134" t="str">
        <x:v>V4→V5</x:v>
      </x:c>
    </x:row>
    <x:row r="78" ht="30" customHeight="1">
      <x:c r="A78" s="128" t="str">
        <x:v>物品</x:v>
      </x:c>
      <x:c r="B78" s="128" t="str">
        <x:v>I074</x:v>
      </x:c>
      <x:c r="C78" s="128" t="str">
        <x:v>纸人</x:v>
      </x:c>
      <x:c r="D78" s="128" t="str">
        <x:v>保留</x:v>
      </x:c>
      <x:c r="E78" s="128" t="str">
        <x:v>纸人</x:v>
      </x:c>
      <x:c r="F78" s="128" t="str">
        <x:v>—</x:v>
      </x:c>
      <x:c r="G78" s="128" t="str">
        <x:v>纸质形象被消耗后留魂，作为灵魂链的明确燃料。</x:v>
      </x:c>
      <x:c r="H78" s="128" t="str">
        <x:v>被消耗时，生成1个幽灵，并使消耗者本回合分值+2。</x:v>
      </x:c>
      <x:c r="I78" s="128" t="str">
        <x:v>被消耗时，生成1个幽灵，并使消耗者本回合分值+2。</x:v>
      </x:c>
      <x:c r="J78" s="128" t="str">
        <x:v>V4→V5</x:v>
      </x:c>
    </x:row>
    <x:row r="79" ht="30" customHeight="1">
      <x:c r="A79" s="134" t="str">
        <x:v>物品</x:v>
      </x:c>
      <x:c r="B79" s="134" t="str">
        <x:v>I075</x:v>
      </x:c>
      <x:c r="C79" s="134" t="str">
        <x:v>引魂灯</x:v>
      </x:c>
      <x:c r="D79" s="134" t="str">
        <x:v>保留</x:v>
      </x:c>
      <x:c r="E79" s="134" t="str">
        <x:v>引魂灯</x:v>
      </x:c>
      <x:c r="F79" s="134" t="str">
        <x:v>—</x:v>
      </x:c>
      <x:c r="G79" s="134" t="str">
        <x:v>保留幽灵并用灯增强，与消耗流不同。</x:v>
      </x:c>
      <x:c r="H79" s="134" t="str">
        <x:v>结算时，与自身接触的幽灵各本回合分值+3。</x:v>
      </x:c>
      <x:c r="I79" s="134" t="str">
        <x:v>结算时，与自身接触的幽灵各本回合分值+3。</x:v>
      </x:c>
      <x:c r="J79" s="134" t="str">
        <x:v>V4→V5</x:v>
      </x:c>
    </x:row>
    <x:row r="80" ht="30" customHeight="1">
      <x:c r="A80" s="128" t="str">
        <x:v>物品</x:v>
      </x:c>
      <x:c r="B80" s="128" t="str">
        <x:v>I076</x:v>
      </x:c>
      <x:c r="C80" s="128" t="str">
        <x:v>焚化炉</x:v>
      </x:c>
      <x:c r="D80" s="128" t="str">
        <x:v>调整</x:v>
      </x:c>
      <x:c r="E80" s="128" t="str">
        <x:v>焚化炉</x:v>
      </x:c>
      <x:c r="F80" s="128" t="str">
        <x:v>—</x:v>
      </x:c>
      <x:c r="G80" s="128" t="str">
        <x:v>燃料收窄到带有形象的纸人和纸影，移除不可燃铁屑与无关羊毛生魂火。</x:v>
      </x:c>
      <x:c r="H80" s="128" t="str">
        <x:v>接触纸人、羊毛、废料或纸影时，消耗该物品，临时，生成1团魂火，并直接计分4。</x:v>
      </x:c>
      <x:c r="I80" s="128" t="str">
        <x:v>接触纸人或纸影时，消耗该物品，临时生成1团魂火，并直接计分4。</x:v>
      </x:c>
      <x:c r="J80" s="128" t="str">
        <x:v>V4→V5</x:v>
      </x:c>
    </x:row>
    <x:row r="81" ht="30" customHeight="1">
      <x:c r="A81" s="134" t="str">
        <x:v>物品</x:v>
      </x:c>
      <x:c r="B81" s="134" t="str">
        <x:v>I077</x:v>
      </x:c>
      <x:c r="C81" s="134" t="str">
        <x:v>亡语铃</x:v>
      </x:c>
      <x:c r="D81" s="134" t="str">
        <x:v>保留</x:v>
      </x:c>
      <x:c r="E81" s="134" t="str">
        <x:v>亡语铃</x:v>
      </x:c>
      <x:c r="F81" s="134" t="str">
        <x:v>—</x:v>
      </x:c>
      <x:c r="G81" s="134" t="str">
        <x:v>在真实消耗现场获益，强调消耗前的接触布局。</x:v>
      </x:c>
      <x:c r="H81" s="134" t="str">
        <x:v>自身正在接触的物品被消耗时，自身本回合分值+3。</x:v>
      </x:c>
      <x:c r="I81" s="134" t="str">
        <x:v>自身正在接触的物品被消耗时，自身本回合分值+3。</x:v>
      </x:c>
      <x:c r="J81" s="134" t="str">
        <x:v>V4→V5</x:v>
      </x:c>
    </x:row>
    <x:row r="82" ht="30" customHeight="1">
      <x:c r="A82" s="128" t="str">
        <x:v>物品</x:v>
      </x:c>
      <x:c r="B82" s="128" t="str">
        <x:v>I078</x:v>
      </x:c>
      <x:c r="C82" s="128" t="str">
        <x:v>拾荒者</x:v>
      </x:c>
      <x:c r="D82" s="128" t="str">
        <x:v>合并</x:v>
      </x:c>
      <x:c r="E82" s="128" t="str">
        <x:v>退出当前目录</x:v>
      </x:c>
      <x:c r="F82" s="128" t="str">
        <x:v>I054 回收桶</x:v>
      </x:c>
      <x:c r="G82" s="128" t="str">
        <x:v>与回收桶处理低值废物高度重叠；统一到回收桶。</x:v>
      </x:c>
      <x:c r="H82" s="128" t="str">
        <x:v>接触小石子、废料、饼干屑或纪念票时，消耗该物品，自身本回合分值+5。</x:v>
      </x:c>
      <x:c r="I82" s="128" t="str">
        <x:v>从当前总表和奖励池移除；历史ID保留</x:v>
      </x:c>
      <x:c r="J82" s="128" t="str">
        <x:v>V4→V5</x:v>
      </x:c>
    </x:row>
    <x:row r="83" ht="38" customHeight="1">
      <x:c r="A83" s="134" t="str">
        <x:v>物品</x:v>
      </x:c>
      <x:c r="B83" s="134" t="str">
        <x:v>I079</x:v>
      </x:c>
      <x:c r="C83" s="134" t="str">
        <x:v>轮回匣</x:v>
      </x:c>
      <x:c r="D83" s="134" t="str">
        <x:v>保留</x:v>
      </x:c>
      <x:c r="E83" s="134" t="str">
        <x:v>轮回匣</x:v>
      </x:c>
      <x:c r="F83" s="134" t="str">
        <x:v>—</x:v>
      </x:c>
      <x:c r="G83" s="134" t="str">
        <x:v>只取回本回合已消耗的低分实例，不重置次数。</x:v>
      </x:c>
      <x:c r="H83" s="134" t="str">
        <x:v>接触幽灵时，若本回合弃牌堆中有基础分不超过3的永久物品，先选中其中最早被消耗的1件，再消耗该幽灵，并复活选中的物品。</x:v>
      </x:c>
      <x:c r="I83" s="134" t="str">
        <x:v>接触幽灵时，若本回合弃牌堆中有基础分不超过3的永久物品，先选中其中最早被消耗的1件，再消耗该幽灵，并复活选中的物品。</x:v>
      </x:c>
      <x:c r="J83" s="134" t="str">
        <x:v>V4→V5</x:v>
      </x:c>
    </x:row>
    <x:row r="84" ht="30" customHeight="1">
      <x:c r="A84" s="128" t="str">
        <x:v>物品</x:v>
      </x:c>
      <x:c r="B84" s="128" t="str">
        <x:v>I080</x:v>
      </x:c>
      <x:c r="C84" s="128" t="str">
        <x:v>守墓人</x:v>
      </x:c>
      <x:c r="D84" s="128" t="str">
        <x:v>保留</x:v>
      </x:c>
      <x:c r="E84" s="128" t="str">
        <x:v>守墓人</x:v>
      </x:c>
      <x:c r="F84" s="128" t="str">
        <x:v>—</x:v>
      </x:c>
      <x:c r="G84" s="128" t="str">
        <x:v>消耗路线的全局结算回报，不额外增加复活规则。</x:v>
      </x:c>
      <x:c r="H84" s="128" t="str">
        <x:v>结算时，本回合弃牌堆中有至少3件永久物品时，所有存活灵魂物品结算倍率+50%。</x:v>
      </x:c>
      <x:c r="I84" s="128" t="str">
        <x:v>结算时，本回合弃牌堆中有至少3件永久物品时，所有存活灵魂物品结算倍率+50%。</x:v>
      </x:c>
      <x:c r="J84" s="128" t="str">
        <x:v>V4→V5</x:v>
      </x:c>
    </x:row>
    <x:row r="85" ht="30" customHeight="1">
      <x:c r="A85" s="134" t="str">
        <x:v>物品</x:v>
      </x:c>
      <x:c r="B85" s="134" t="str">
        <x:v>I081</x:v>
      </x:c>
      <x:c r="C85" s="134" t="str">
        <x:v>紫水晶</x:v>
      </x:c>
      <x:c r="D85" s="134" t="str">
        <x:v>保留</x:v>
      </x:c>
      <x:c r="E85" s="134" t="str">
        <x:v>紫水晶</x:v>
      </x:c>
      <x:c r="F85" s="134" t="str">
        <x:v>—</x:v>
      </x:c>
      <x:c r="G85" s="134" t="str">
        <x:v>相邻宝石双向增值，是魔法宝石的基础连接件。</x:v>
      </x:c>
      <x:c r="H85" s="134" t="str">
        <x:v>结算时，与自身接触的其他宝石每有1件，自身和该宝石的本回合分值各+2。</x:v>
      </x:c>
      <x:c r="I85" s="134" t="str">
        <x:v>结算时，与自身接触的其他宝石每有1件，自身和该宝石的本回合分值各+2。</x:v>
      </x:c>
      <x:c r="J85" s="134" t="str">
        <x:v>V4→V5</x:v>
      </x:c>
    </x:row>
    <x:row r="86" ht="30" customHeight="1">
      <x:c r="A86" s="128" t="str">
        <x:v>物品</x:v>
      </x:c>
      <x:c r="B86" s="128" t="str">
        <x:v>I082</x:v>
      </x:c>
      <x:c r="C86" s="128" t="str">
        <x:v>黄水晶</x:v>
      </x:c>
      <x:c r="D86" s="128" t="str">
        <x:v>保留</x:v>
      </x:c>
      <x:c r="E86" s="128" t="str">
        <x:v>黄水晶</x:v>
      </x:c>
      <x:c r="F86" s="128" t="str">
        <x:v>—</x:v>
      </x:c>
      <x:c r="G86" s="128" t="str">
        <x:v>宝石魔法培养接触的成长物品，已移除重复沙漏。</x:v>
      </x:c>
      <x:c r="H86" s="128" t="str">
        <x:v>结算结束时，与自身接触的成长物品中，永久基础分最低者永久基础分+1。</x:v>
      </x:c>
      <x:c r="I86" s="128" t="str">
        <x:v>结算结束时，与自身接触的成长物品中，永久基础分最低者永久基础分+1。</x:v>
      </x:c>
      <x:c r="J86" s="128" t="str">
        <x:v>V4→V5</x:v>
      </x:c>
    </x:row>
    <x:row r="87" ht="30" customHeight="1">
      <x:c r="A87" s="134" t="str">
        <x:v>物品</x:v>
      </x:c>
      <x:c r="B87" s="134" t="str">
        <x:v>I083</x:v>
      </x:c>
      <x:c r="C87" s="134" t="str">
        <x:v>石榴石</x:v>
      </x:c>
      <x:c r="D87" s="134" t="str">
        <x:v>调整</x:v>
      </x:c>
      <x:c r="E87" s="134" t="str">
        <x:v>雷晶石</x:v>
      </x:c>
      <x:c r="F87" s="134" t="str">
        <x:v>—</x:v>
      </x:c>
      <x:c r="G87" s="134" t="str">
        <x:v>充能宝石统一为名字能表达电力用途的雷晶石，不再设第二种零电量特例。</x:v>
      </x:c>
      <x:c r="H87" s="134" t="str">
        <x:v>接触充能物品时，使该物品充能+1。</x:v>
      </x:c>
      <x:c r="I87" s="134" t="str">
        <x:v>接触充能物品时，使该物品充能+1。</x:v>
      </x:c>
      <x:c r="J87" s="134" t="str">
        <x:v>V4→V5</x:v>
      </x:c>
    </x:row>
    <x:row r="88" ht="30" customHeight="1">
      <x:c r="A88" s="128" t="str">
        <x:v>物品</x:v>
      </x:c>
      <x:c r="B88" s="128" t="str">
        <x:v>I084</x:v>
      </x:c>
      <x:c r="C88" s="128" t="str">
        <x:v>橄榄石</x:v>
      </x:c>
      <x:c r="D88" s="128" t="str">
        <x:v>合并</x:v>
      </x:c>
      <x:c r="E88" s="128" t="str">
        <x:v>退出当前目录</x:v>
      </x:c>
      <x:c r="F88" s="128" t="str">
        <x:v>I083 雷晶石</x:v>
      </x:c>
      <x:c r="G88" s="128" t="str">
        <x:v>与另一颗充能宝石职责重叠，统一保留雷晶石。</x:v>
      </x:c>
      <x:c r="H88" s="128" t="str">
        <x:v>接触充能为0的充能物品时，使该物品充能+2，自身本回合分值+2。</x:v>
      </x:c>
      <x:c r="I88" s="128" t="str">
        <x:v>从当前总表和奖励池移除；历史ID保留</x:v>
      </x:c>
      <x:c r="J88" s="128" t="str">
        <x:v>V4→V5</x:v>
      </x:c>
    </x:row>
    <x:row r="89" ht="30" customHeight="1">
      <x:c r="A89" s="134" t="str">
        <x:v>物品</x:v>
      </x:c>
      <x:c r="B89" s="134" t="str">
        <x:v>I085</x:v>
      </x:c>
      <x:c r="C89" s="134" t="str">
        <x:v>黄玉</x:v>
      </x:c>
      <x:c r="D89" s="134" t="str">
        <x:v>保留</x:v>
      </x:c>
      <x:c r="E89" s="134" t="str">
        <x:v>黄玉</x:v>
      </x:c>
      <x:c r="F89" s="134" t="str">
        <x:v>—</x:v>
      </x:c>
      <x:c r="G89" s="134" t="str">
        <x:v>唯一通用商品追加器，有一次上限且不递归追加。</x:v>
      </x:c>
      <x:c r="H89" s="134" t="str">
        <x:v>与自身接触的物品生成商品时，追加生成1件同种商品。</x:v>
      </x:c>
      <x:c r="I89" s="134" t="str">
        <x:v>与自身接触的物品生成商品时，追加生成1件同种商品。</x:v>
      </x:c>
      <x:c r="J89" s="134" t="str">
        <x:v>V4→V5</x:v>
      </x:c>
    </x:row>
    <x:row r="90" ht="30" customHeight="1">
      <x:c r="A90" s="128" t="str">
        <x:v>物品</x:v>
      </x:c>
      <x:c r="B90" s="128" t="str">
        <x:v>I086</x:v>
      </x:c>
      <x:c r="C90" s="128" t="str">
        <x:v>棱镜</x:v>
      </x:c>
      <x:c r="D90" s="128" t="str">
        <x:v>保留</x:v>
      </x:c>
      <x:c r="E90" s="128" t="str">
        <x:v>棱镜</x:v>
      </x:c>
      <x:c r="F90" s="128" t="str">
        <x:v>—</x:v>
      </x:c>
      <x:c r="G90" s="128" t="str">
        <x:v>奖励不同宝石名称，区别于共鸣石只需宝石连通。</x:v>
      </x:c>
      <x:c r="H90" s="128" t="str">
        <x:v>结算时，与自身接触的宝石每有1种不同名称，自身本回合分值+3。</x:v>
      </x:c>
      <x:c r="I90" s="128" t="str">
        <x:v>结算时，与自身接触的宝石每有1种不同名称，自身本回合分值+3。</x:v>
      </x:c>
      <x:c r="J90" s="128" t="str">
        <x:v>V4→V5</x:v>
      </x:c>
    </x:row>
    <x:row r="91" ht="30" customHeight="1">
      <x:c r="A91" s="134" t="str">
        <x:v>物品</x:v>
      </x:c>
      <x:c r="B91" s="134" t="str">
        <x:v>I087</x:v>
      </x:c>
      <x:c r="C91" s="134" t="str">
        <x:v>共鸣石</x:v>
      </x:c>
      <x:c r="D91" s="134" t="str">
        <x:v>保留</x:v>
      </x:c>
      <x:c r="E91" s="134" t="str">
        <x:v>共鸣石</x:v>
      </x:c>
      <x:c r="F91" s="134" t="str">
        <x:v>—</x:v>
      </x:c>
      <x:c r="G91" s="134" t="str">
        <x:v>宝石接触组达标，自身获益；保留重复宝石也能成组的路线。</x:v>
      </x:c>
      <x:c r="H91" s="134" t="str">
        <x:v>结算时，所在宝石接触组有至少3件时，自身本回合分值+5。</x:v>
      </x:c>
      <x:c r="I91" s="134" t="str">
        <x:v>结算时，所在宝石接触组有至少3件时，自身本回合分值+5。</x:v>
      </x:c>
      <x:c r="J91" s="134" t="str">
        <x:v>V4→V5</x:v>
      </x:c>
    </x:row>
    <x:row r="92" ht="30" customHeight="1">
      <x:c r="A92" s="128" t="str">
        <x:v>物品</x:v>
      </x:c>
      <x:c r="B92" s="128" t="str">
        <x:v>I088</x:v>
      </x:c>
      <x:c r="C92" s="128" t="str">
        <x:v>调音叉</x:v>
      </x:c>
      <x:c r="D92" s="128" t="str">
        <x:v>保留</x:v>
      </x:c>
      <x:c r="E92" s="128" t="str">
        <x:v>调音叉</x:v>
      </x:c>
      <x:c r="F92" s="128" t="str">
        <x:v>—</x:v>
      </x:c>
      <x:c r="G92" s="128" t="str">
        <x:v>音叉只作用共鸣标签，连接共鸣石与紫水晶。</x:v>
      </x:c>
      <x:c r="H92" s="128" t="str">
        <x:v>接触共鸣物品时，双方本回合分值各+2。</x:v>
      </x:c>
      <x:c r="I92" s="128" t="str">
        <x:v>接触共鸣物品时，双方本回合分值各+2。</x:v>
      </x:c>
      <x:c r="J92" s="128" t="str">
        <x:v>V4→V5</x:v>
      </x:c>
    </x:row>
    <x:row r="93" ht="30" customHeight="1">
      <x:c r="A93" s="134" t="str">
        <x:v>物品</x:v>
      </x:c>
      <x:c r="B93" s="134" t="str">
        <x:v>I089</x:v>
      </x:c>
      <x:c r="C93" s="134" t="str">
        <x:v>彩虹珠</x:v>
      </x:c>
      <x:c r="D93" s="134" t="str">
        <x:v>合并</x:v>
      </x:c>
      <x:c r="E93" s="134" t="str">
        <x:v>退出当前目录</x:v>
      </x:c>
      <x:c r="F93" s="134" t="str">
        <x:v>I086 棱镜</x:v>
      </x:c>
      <x:c r="G93" s="134" t="str">
        <x:v>恰好三种流派的邻居门槛隐晦，第四种反而失效；宝石多样性保留棱镜。</x:v>
      </x:c>
      <x:c r="H93" s="134" t="str">
        <x:v>结算时，与自身接触的物品里恰好有3种不同主流派时，这些物品各结算倍率+75%。</x:v>
      </x:c>
      <x:c r="I93" s="134" t="str">
        <x:v>从当前总表和奖励池移除；历史ID保留</x:v>
      </x:c>
      <x:c r="J93" s="134" t="str">
        <x:v>V4→V5</x:v>
      </x:c>
    </x:row>
    <x:row r="94" ht="30" customHeight="1">
      <x:c r="A94" s="128" t="str">
        <x:v>物品</x:v>
      </x:c>
      <x:c r="B94" s="128" t="str">
        <x:v>I090</x:v>
      </x:c>
      <x:c r="C94" s="128" t="str">
        <x:v>镜片</x:v>
      </x:c>
      <x:c r="D94" s="128" t="str">
        <x:v>保留</x:v>
      </x:c>
      <x:c r="E94" s="128" t="str">
        <x:v>镜片</x:v>
      </x:c>
      <x:c r="F94" s="128" t="str">
        <x:v>—</x:v>
      </x:c>
      <x:c r="G94" s="128" t="str">
        <x:v>读取目标冻结分值，和给目标倍率的放大镜方向不同。</x:v>
      </x:c>
      <x:c r="H94" s="128" t="str">
        <x:v>结算时，自身本回合分值增加与自身接触的物品中最高冻结分值的50%，向下取整。</x:v>
      </x:c>
      <x:c r="I94" s="128" t="str">
        <x:v>结算时，自身本回合分值增加与自身接触的物品中最高冻结分值的50%，向下取整。</x:v>
      </x:c>
      <x:c r="J94" s="128" t="str">
        <x:v>V4→V5</x:v>
      </x:c>
    </x:row>
    <x:row r="95" ht="30" customHeight="1">
      <x:c r="A95" s="134" t="str">
        <x:v>物品</x:v>
      </x:c>
      <x:c r="B95" s="134" t="str">
        <x:v>I091</x:v>
      </x:c>
      <x:c r="C95" s="134" t="str">
        <x:v>木剑</x:v>
      </x:c>
      <x:c r="D95" s="134" t="str">
        <x:v>保留</x:v>
      </x:c>
      <x:c r="E95" s="134" t="str">
        <x:v>木剑</x:v>
      </x:c>
      <x:c r="F95" s="134" t="str">
        <x:v>—</x:v>
      </x:c>
      <x:c r="G95" s="134" t="str">
        <x:v>只攻击可攻击目标，固定伤害不读撞击力度。</x:v>
      </x:c>
      <x:c r="H95" s="134" t="str">
        <x:v>接触可攻击物品时，对其造成1点伤害，自身本回合分值+2。</x:v>
      </x:c>
      <x:c r="I95" s="134" t="str">
        <x:v>接触可攻击物品时，对其造成1点伤害，自身本回合分值+2。</x:v>
      </x:c>
      <x:c r="J95" s="134" t="str">
        <x:v>V4→V5</x:v>
      </x:c>
    </x:row>
    <x:row r="96" ht="30" customHeight="1">
      <x:c r="A96" s="128" t="str">
        <x:v>物品</x:v>
      </x:c>
      <x:c r="B96" s="128" t="str">
        <x:v>I092</x:v>
      </x:c>
      <x:c r="C96" s="128" t="str">
        <x:v>木盾</x:v>
      </x:c>
      <x:c r="D96" s="128" t="str">
        <x:v>移除</x:v>
      </x:c>
      <x:c r="E96" s="128" t="str">
        <x:v>退出当前目录</x:v>
      </x:c>
      <x:c r="F96" s="128" t="str">
        <x:v>—</x:v>
      </x:c>
      <x:c r="G96" s="128" t="str">
        <x:v>当前没有伤害友方的敌人；木盾只会阻断烹饪、开箱等有益配方，删除。</x:v>
      </x:c>
      <x:c r="H96" s="128" t="str">
        <x:v>与自身接触的物品将被消耗时，阻止这次消耗以及由它产生的全部收益。</x:v>
      </x:c>
      <x:c r="I96" s="128" t="str">
        <x:v>从当前总表和奖励池移除；历史ID保留</x:v>
      </x:c>
      <x:c r="J96" s="128" t="str">
        <x:v>V4→V5</x:v>
      </x:c>
    </x:row>
    <x:row r="97" ht="30" customHeight="1">
      <x:c r="A97" s="134" t="str">
        <x:v>物品</x:v>
      </x:c>
      <x:c r="B97" s="134" t="str">
        <x:v>I093</x:v>
      </x:c>
      <x:c r="C97" s="134" t="str">
        <x:v>草帽</x:v>
      </x:c>
      <x:c r="D97" s="134" t="str">
        <x:v>合并</x:v>
      </x:c>
      <x:c r="E97" s="134" t="str">
        <x:v>退出当前目录</x:v>
      </x:c>
      <x:c r="F97" s="134" t="str">
        <x:v>I020 花盆</x:v>
      </x:c>
      <x:c r="G97" s="134" t="str">
        <x:v>草帽增强植物没有明确依据，且重复花盆的植物辅助。</x:v>
      </x:c>
      <x:c r="H97" s="134" t="str">
        <x:v>结算时，与自身接触的植物各本回合分值+4。</x:v>
      </x:c>
      <x:c r="I97" s="134" t="str">
        <x:v>从当前总表和奖励池移除；历史ID保留</x:v>
      </x:c>
      <x:c r="J97" s="134" t="str">
        <x:v>V4→V5</x:v>
      </x:c>
    </x:row>
    <x:row r="98" ht="30" customHeight="1">
      <x:c r="A98" s="128" t="str">
        <x:v>物品</x:v>
      </x:c>
      <x:c r="B98" s="128" t="str">
        <x:v>I094</x:v>
      </x:c>
      <x:c r="C98" s="128" t="str">
        <x:v>礼帽</x:v>
      </x:c>
      <x:c r="D98" s="128" t="str">
        <x:v>合并</x:v>
      </x:c>
      <x:c r="E98" s="128" t="str">
        <x:v>退出当前目录</x:v>
      </x:c>
      <x:c r="F98" s="128" t="str">
        <x:v>I085 黄玉</x:v>
      </x:c>
      <x:c r="G98" s="128" t="str">
        <x:v>重复黄玉的追加生成能力，货币来源又很窄；保留一种追加产物辅助。</x:v>
      </x:c>
      <x:c r="H98" s="128" t="str">
        <x:v>与自身接触的物品生成货币时，追加生成1枚零钱。</x:v>
      </x:c>
      <x:c r="I98" s="128" t="str">
        <x:v>从当前总表和奖励池移除；历史ID保留</x:v>
      </x:c>
      <x:c r="J98" s="128" t="str">
        <x:v>V4→V5</x:v>
      </x:c>
    </x:row>
    <x:row r="99" ht="30" customHeight="1">
      <x:c r="A99" s="134" t="str">
        <x:v>物品</x:v>
      </x:c>
      <x:c r="B99" s="134" t="str">
        <x:v>I095</x:v>
      </x:c>
      <x:c r="C99" s="134" t="str">
        <x:v>罗盘</x:v>
      </x:c>
      <x:c r="D99" s="134" t="str">
        <x:v>合并</x:v>
      </x:c>
      <x:c r="E99" s="134" t="str">
        <x:v>退出当前目录</x:v>
      </x:c>
      <x:c r="F99" s="134" t="str">
        <x:v>I116 放大镜</x:v>
      </x:c>
      <x:c r="G99" s="134" t="str">
        <x:v>重复对最高分接触目标加倍率；统一保留放大镜。</x:v>
      </x:c>
      <x:c r="H99" s="134" t="str">
        <x:v>结算时，与自身接触的物品中，冻结分值最高者结算倍率+50%。</x:v>
      </x:c>
      <x:c r="I99" s="134" t="str">
        <x:v>从当前总表和奖励池移除；历史ID保留</x:v>
      </x:c>
      <x:c r="J99" s="134" t="str">
        <x:v>V4→V5</x:v>
      </x:c>
    </x:row>
    <x:row r="100" ht="30" customHeight="1">
      <x:c r="A100" s="128" t="str">
        <x:v>物品</x:v>
      </x:c>
      <x:c r="B100" s="128" t="str">
        <x:v>I096</x:v>
      </x:c>
      <x:c r="C100" s="128" t="str">
        <x:v>地图</x:v>
      </x:c>
      <x:c r="D100" s="128" t="str">
        <x:v>调整</x:v>
      </x:c>
      <x:c r="E100" s="128" t="str">
        <x:v>地图</x:v>
      </x:c>
      <x:c r="F100" s="128" t="str">
        <x:v>—</x:v>
      </x:c>
      <x:c r="G100" s="128" t="str">
        <x:v>地图只支援探险主流派，避免装备标签被误当探险角色。</x:v>
      </x:c>
      <x:c r="H100" s="128" t="str">
        <x:v>结算时，与自身接触的探险物品各本回合分值+4。</x:v>
      </x:c>
      <x:c r="I100" s="128" t="str">
        <x:v>结算时，使与自身接触的探险物品各本回合分值+4。</x:v>
      </x:c>
      <x:c r="J100" s="128" t="str">
        <x:v>V4→V5</x:v>
      </x:c>
    </x:row>
    <x:row r="101" ht="30" customHeight="1">
      <x:c r="A101" s="134" t="str">
        <x:v>物品</x:v>
      </x:c>
      <x:c r="B101" s="134" t="str">
        <x:v>I097</x:v>
      </x:c>
      <x:c r="C101" s="134" t="str">
        <x:v>钥匙</x:v>
      </x:c>
      <x:c r="D101" s="134" t="str">
        <x:v>保留</x:v>
      </x:c>
      <x:c r="E101" s="134" t="str">
        <x:v>钥匙</x:v>
      </x:c>
      <x:c r="F101" s="134" t="str">
        <x:v>—</x:v>
      </x:c>
      <x:c r="G101" s="134" t="str">
        <x:v>开箱消耗材料，来源同时支持选取与遗物生成。</x:v>
      </x:c>
      <x:c r="H101" s="134" t="str">
        <x:v>被宝箱消耗时，直接计分3。</x:v>
      </x:c>
      <x:c r="I101" s="134" t="str">
        <x:v>被宝箱消耗时，直接计分3。</x:v>
      </x:c>
      <x:c r="J101" s="134" t="str">
        <x:v>V4→V5</x:v>
      </x:c>
    </x:row>
    <x:row r="102" ht="30" customHeight="1">
      <x:c r="A102" s="128" t="str">
        <x:v>物品</x:v>
      </x:c>
      <x:c r="B102" s="128" t="str">
        <x:v>I098</x:v>
      </x:c>
      <x:c r="C102" s="128" t="str">
        <x:v>宝箱</x:v>
      </x:c>
      <x:c r="D102" s="128" t="str">
        <x:v>保留</x:v>
      </x:c>
      <x:c r="E102" s="128" t="str">
        <x:v>宝箱</x:v>
      </x:c>
      <x:c r="F102" s="128" t="str">
        <x:v>—</x:v>
      </x:c>
      <x:c r="G102" s="128" t="str">
        <x:v>钥匙开箱并消耗双方，产物与永久牌库变化清楚。</x:v>
      </x:c>
      <x:c r="H102" s="128" t="str">
        <x:v>接触钥匙时，消耗该钥匙及自身，生成1枚宝藏徽记和1颗晶屑。</x:v>
      </x:c>
      <x:c r="I102" s="128" t="str">
        <x:v>接触钥匙时，消耗该钥匙及自身，生成1枚宝藏徽记和1颗晶屑。</x:v>
      </x:c>
      <x:c r="J102" s="128" t="str">
        <x:v>V4→V5</x:v>
      </x:c>
    </x:row>
    <x:row r="103" ht="38" customHeight="1">
      <x:c r="A103" s="134" t="str">
        <x:v>物品</x:v>
      </x:c>
      <x:c r="B103" s="134" t="str">
        <x:v>I099</x:v>
      </x:c>
      <x:c r="C103" s="134" t="str">
        <x:v>训练木偶</x:v>
      </x:c>
      <x:c r="D103" s="134" t="str">
        <x:v>保留</x:v>
      </x:c>
      <x:c r="E103" s="134" t="str">
        <x:v>训练木偶</x:v>
      </x:c>
      <x:c r="F103" s="134" t="str">
        <x:v>—</x:v>
      </x:c>
      <x:c r="G103" s="134" t="str">
        <x:v>可重复跨回合使用的练习目标，区别于一次性巨像。</x:v>
      </x:c>
      <x:c r="H103" s="134" t="str">
        <x:v>每实际受到1点伤害，自身本回合分值+3；本回合累计受到3点伤害时，自身本回合分值再+3，并停止受伤。</x:v>
      </x:c>
      <x:c r="I103" s="134" t="str">
        <x:v>每实际受到1点伤害，自身本回合分值+3；本回合累计受到3点伤害时，自身本回合分值再+3，并停止受伤。</x:v>
      </x:c>
      <x:c r="J103" s="134" t="str">
        <x:v>V4→V5</x:v>
      </x:c>
    </x:row>
    <x:row r="104" ht="30" customHeight="1">
      <x:c r="A104" s="128" t="str">
        <x:v>物品</x:v>
      </x:c>
      <x:c r="B104" s="128" t="str">
        <x:v>I100</x:v>
      </x:c>
      <x:c r="C104" s="128" t="str">
        <x:v>守门巨像</x:v>
      </x:c>
      <x:c r="D104" s="128" t="str">
        <x:v>保留</x:v>
      </x:c>
      <x:c r="E104" s="128" t="str">
        <x:v>守门巨像</x:v>
      </x:c>
      <x:c r="F104" s="128" t="str">
        <x:v>—</x:v>
      </x:c>
      <x:c r="G104" s="128" t="str">
        <x:v>被击败后永久退场换战利品，提供攻击流消耗终点。</x:v>
      </x:c>
      <x:c r="H104" s="128" t="str">
        <x:v>本回合累计受到3伤害时，消耗自身，生成1座奖杯和1枚零钱。</x:v>
      </x:c>
      <x:c r="I104" s="128" t="str">
        <x:v>本回合累计受到3伤害时，消耗自身，生成1座奖杯和1枚零钱。</x:v>
      </x:c>
      <x:c r="J104" s="128" t="str">
        <x:v>V4→V5</x:v>
      </x:c>
    </x:row>
    <x:row r="105" ht="30" customHeight="1">
      <x:c r="A105" s="134" t="str">
        <x:v>物品</x:v>
      </x:c>
      <x:c r="B105" s="134" t="str">
        <x:v>I101</x:v>
      </x:c>
      <x:c r="C105" s="134" t="str">
        <x:v>洞穴石</x:v>
      </x:c>
      <x:c r="D105" s="134" t="str">
        <x:v>合并</x:v>
      </x:c>
      <x:c r="E105" s="134" t="str">
        <x:v>退出当前目录</x:v>
      </x:c>
      <x:c r="F105" s="134" t="str">
        <x:v>I107 拼图块</x:v>
      </x:c>
      <x:c r="G105" s="134" t="str">
        <x:v>同名石块相碰加分与拼图成组相似；保留图形语义更明确的拼图。</x:v>
      </x:c>
      <x:c r="H105" s="134" t="str">
        <x:v>接触另一个洞穴石时，双方本回合分值各+3。</x:v>
      </x:c>
      <x:c r="I105" s="134" t="str">
        <x:v>从当前总表和奖励池移除；历史ID保留</x:v>
      </x:c>
      <x:c r="J105" s="134" t="str">
        <x:v>V4→V5</x:v>
      </x:c>
    </x:row>
    <x:row r="106" ht="38" customHeight="1">
      <x:c r="A106" s="128" t="str">
        <x:v>物品</x:v>
      </x:c>
      <x:c r="B106" s="128" t="str">
        <x:v>I102</x:v>
      </x:c>
      <x:c r="C106" s="128" t="str">
        <x:v>接力棒</x:v>
      </x:c>
      <x:c r="D106" s="128" t="str">
        <x:v>保留</x:v>
      </x:c>
      <x:c r="E106" s="128" t="str">
        <x:v>接力棒</x:v>
      </x:c>
      <x:c r="F106" s="128" t="str">
        <x:v>—</x:v>
      </x:c>
      <x:c r="G106" s="128" t="str">
        <x:v>根据已发生的增值决定接力收益，有可操作的先后顺序。</x:v>
      </x:c>
      <x:c r="H106" s="128" t="str">
        <x:v>接触非连锁物品时，使该物品本回合分值+2；若该物品此前已被其他物品增值过，则该次改为+4。</x:v>
      </x:c>
      <x:c r="I106" s="128" t="str">
        <x:v>接触非连锁物品时，使该物品本回合分值+2；若该物品此前已被其他物品增值过，则该次改为+4。</x:v>
      </x:c>
      <x:c r="J106" s="128" t="str">
        <x:v>V4→V5</x:v>
      </x:c>
    </x:row>
    <x:row r="107" ht="30" customHeight="1">
      <x:c r="A107" s="134" t="str">
        <x:v>物品</x:v>
      </x:c>
      <x:c r="B107" s="134" t="str">
        <x:v>I103</x:v>
      </x:c>
      <x:c r="C107" s="134" t="str">
        <x:v>多米诺</x:v>
      </x:c>
      <x:c r="D107" s="134" t="str">
        <x:v>合并</x:v>
      </x:c>
      <x:c r="E107" s="134" t="str">
        <x:v>退出当前目录</x:v>
      </x:c>
      <x:c r="F107" s="134" t="str">
        <x:v>I107 拼图块</x:v>
      </x:c>
      <x:c r="G107" s="134" t="str">
        <x:v>与拼图同属同名接触堆分，当前没有倒下传播机制支撑多米诺特色。</x:v>
      </x:c>
      <x:c r="H107" s="134" t="str">
        <x:v>首次接触另一个多米诺时，双方本回合分值各+4。</x:v>
      </x:c>
      <x:c r="I107" s="134" t="str">
        <x:v>从当前总表和奖励池移除；历史ID保留</x:v>
      </x:c>
      <x:c r="J107" s="134" t="str">
        <x:v>V4→V5</x:v>
      </x:c>
    </x:row>
    <x:row r="108" ht="30" customHeight="1">
      <x:c r="A108" s="128" t="str">
        <x:v>物品</x:v>
      </x:c>
      <x:c r="B108" s="128" t="str">
        <x:v>I104</x:v>
      </x:c>
      <x:c r="C108" s="128" t="str">
        <x:v>印章</x:v>
      </x:c>
      <x:c r="D108" s="128" t="str">
        <x:v>调整</x:v>
      </x:c>
      <x:c r="E108" s="128" t="str">
        <x:v>印章</x:v>
      </x:c>
      <x:c r="F108" s="128" t="str">
        <x:v>—</x:v>
      </x:c>
      <x:c r="G108" s="128" t="str">
        <x:v>印章限定盖在纸质信封与纪念票上，保留长期升值选择。</x:v>
      </x:c>
      <x:c r="H108" s="128" t="str">
        <x:v>接触信封或纪念票时，使其永久基础分+1。</x:v>
      </x:c>
      <x:c r="I108" s="128" t="str">
        <x:v>接触信封或纪念票时，使该目标永久基础分+1。</x:v>
      </x:c>
      <x:c r="J108" s="128" t="str">
        <x:v>V4→V5</x:v>
      </x:c>
    </x:row>
    <x:row r="109" ht="30" customHeight="1">
      <x:c r="A109" s="134" t="str">
        <x:v>物品</x:v>
      </x:c>
      <x:c r="B109" s="134" t="str">
        <x:v>I105</x:v>
      </x:c>
      <x:c r="C109" s="134" t="str">
        <x:v>邮筒</x:v>
      </x:c>
      <x:c r="D109" s="134" t="str">
        <x:v>保留</x:v>
      </x:c>
      <x:c r="E109" s="134" t="str">
        <x:v>邮筒</x:v>
      </x:c>
      <x:c r="F109" s="134" t="str">
        <x:v>—</x:v>
      </x:c>
      <x:c r="G109" s="134" t="str">
        <x:v>邮寄永久消耗信封或纪念票，形成明确纸品出口。</x:v>
      </x:c>
      <x:c r="H109" s="134" t="str">
        <x:v>接触信封或纪念票时，消耗该物品，直接计分等于其被消耗前的当前分值+6。</x:v>
      </x:c>
      <x:c r="I109" s="134" t="str">
        <x:v>接触信封或纪念票时，消耗该物品，直接计分等于其被消耗前的当前分值+6。</x:v>
      </x:c>
      <x:c r="J109" s="134" t="str">
        <x:v>V4→V5</x:v>
      </x:c>
    </x:row>
    <x:row r="110" ht="30" customHeight="1">
      <x:c r="A110" s="128" t="str">
        <x:v>物品</x:v>
      </x:c>
      <x:c r="B110" s="128" t="str">
        <x:v>I106</x:v>
      </x:c>
      <x:c r="C110" s="128" t="str">
        <x:v>信封</x:v>
      </x:c>
      <x:c r="D110" s="128" t="str">
        <x:v>保留</x:v>
      </x:c>
      <x:c r="E110" s="128" t="str">
        <x:v>信封</x:v>
      </x:c>
      <x:c r="F110" s="128" t="str">
        <x:v>—</x:v>
      </x:c>
      <x:c r="G110" s="128" t="str">
        <x:v>盖章后本回合收益，亦可积累永久印章成长。</x:v>
      </x:c>
      <x:c r="H110" s="128" t="str">
        <x:v>结算时，本回合接触过印章时，自身本回合分值+4。</x:v>
      </x:c>
      <x:c r="I110" s="128" t="str">
        <x:v>结算时，本回合接触过印章时，自身本回合分值+4。</x:v>
      </x:c>
      <x:c r="J110" s="128" t="str">
        <x:v>V4→V5</x:v>
      </x:c>
    </x:row>
    <x:row r="111" ht="30" customHeight="1">
      <x:c r="A111" s="134" t="str">
        <x:v>物品</x:v>
      </x:c>
      <x:c r="B111" s="134" t="str">
        <x:v>I107</x:v>
      </x:c>
      <x:c r="C111" s="134" t="str">
        <x:v>拼图块</x:v>
      </x:c>
      <x:c r="D111" s="134" t="str">
        <x:v>保留</x:v>
      </x:c>
      <x:c r="E111" s="134" t="str">
        <x:v>拼图块</x:v>
      </x:c>
      <x:c r="F111" s="134" t="str">
        <x:v>—</x:v>
      </x:c>
      <x:c r="G111" s="134" t="str">
        <x:v>唯一同名连通拼装物，移除石堆和多米诺重复方案。</x:v>
      </x:c>
      <x:c r="H111" s="134" t="str">
        <x:v>结算时，自身所在拼图接触组每有1件其他拼图，自身本回合分值+3。</x:v>
      </x:c>
      <x:c r="I111" s="134" t="str">
        <x:v>结算时，自身所在拼图接触组每有1件其他拼图，自身本回合分值+3。</x:v>
      </x:c>
      <x:c r="J111" s="134" t="str">
        <x:v>V4→V5</x:v>
      </x:c>
    </x:row>
    <x:row r="112" ht="38" customHeight="1">
      <x:c r="A112" s="128" t="str">
        <x:v>物品</x:v>
      </x:c>
      <x:c r="B112" s="128" t="str">
        <x:v>I108</x:v>
      </x:c>
      <x:c r="C112" s="128" t="str">
        <x:v>榫卯块</x:v>
      </x:c>
      <x:c r="D112" s="128" t="str">
        <x:v>移除</x:v>
      </x:c>
      <x:c r="E112" s="128" t="str">
        <x:v>退出当前目录</x:v>
      </x:c>
      <x:c r="F112" s="128" t="str">
        <x:v>—</x:v>
      </x:c>
      <x:c r="G112" s="128" t="str">
        <x:v>圆形加方形并非榫卯配合，且与形状遗物重复；删除这一任意组合。</x:v>
      </x:c>
      <x:c r="H112" s="128" t="str">
        <x:v>结算时，若自身同时与标准形状为圆形和方形的物品接触，使这些物品各本回合分值+4。</x:v>
      </x:c>
      <x:c r="I112" s="128" t="str">
        <x:v>从当前总表和奖励池移除；历史ID保留</x:v>
      </x:c>
      <x:c r="J112" s="128" t="str">
        <x:v>V4→V5</x:v>
      </x:c>
    </x:row>
    <x:row r="113" ht="38" customHeight="1">
      <x:c r="A113" s="134" t="str">
        <x:v>物品</x:v>
      </x:c>
      <x:c r="B113" s="134" t="str">
        <x:v>I109</x:v>
      </x:c>
      <x:c r="C113" s="134" t="str">
        <x:v>星图</x:v>
      </x:c>
      <x:c r="D113" s="134" t="str">
        <x:v>保留</x:v>
      </x:c>
      <x:c r="E113" s="134" t="str">
        <x:v>星图</x:v>
      </x:c>
      <x:c r="F113" s="134" t="str">
        <x:v>—</x:v>
      </x:c>
      <x:c r="G113" s="134" t="str">
        <x:v>唯一读取两种外部增值来源的接触结算核心。</x:v>
      </x:c>
      <x:c r="H113" s="134" t="str">
        <x:v>结算时，与自身接触的物品中，本回合曾被至少2种不同物品增值过的目标，结算倍率+50%。</x:v>
      </x:c>
      <x:c r="I113" s="134" t="str">
        <x:v>结算时，与自身接触的物品中，本回合曾被至少2种不同物品增值过的目标，结算倍率+50%。</x:v>
      </x:c>
      <x:c r="J113" s="134" t="str">
        <x:v>V4→V5</x:v>
      </x:c>
    </x:row>
    <x:row r="114" ht="38" customHeight="1">
      <x:c r="A114" s="128" t="str">
        <x:v>物品</x:v>
      </x:c>
      <x:c r="B114" s="128" t="str">
        <x:v>I110</x:v>
      </x:c>
      <x:c r="C114" s="128" t="str">
        <x:v>连锁终端</x:v>
      </x:c>
      <x:c r="D114" s="128" t="str">
        <x:v>合并</x:v>
      </x:c>
      <x:c r="E114" s="128" t="str">
        <x:v>退出当前目录</x:v>
      </x:c>
      <x:c r="F114" s="128" t="str">
        <x:v>I109 星图</x:v>
      </x:c>
      <x:c r="G114" s="128" t="str">
        <x:v>与星图读取完全相同的两种增值来源历史，仅奖励类型不同；合并到星图。</x:v>
      </x:c>
      <x:c r="H114" s="128" t="str">
        <x:v>结算时，与自身接触的非连锁物品中，本回合曾被至少2种不同物品增值过的目标，各本回合分值+6。</x:v>
      </x:c>
      <x:c r="I114" s="128" t="str">
        <x:v>从当前总表和奖励池移除；历史ID保留</x:v>
      </x:c>
      <x:c r="J114" s="128" t="str">
        <x:v>V4→V5</x:v>
      </x:c>
    </x:row>
    <x:row r="115" ht="30" customHeight="1">
      <x:c r="A115" s="134" t="str">
        <x:v>物品</x:v>
      </x:c>
      <x:c r="B115" s="134" t="str">
        <x:v>I111</x:v>
      </x:c>
      <x:c r="C115" s="134" t="str">
        <x:v>秒表</x:v>
      </x:c>
      <x:c r="D115" s="134" t="str">
        <x:v>保留</x:v>
      </x:c>
      <x:c r="E115" s="134" t="str">
        <x:v>秒表</x:v>
      </x:c>
      <x:c r="F115" s="134" t="str">
        <x:v>—</x:v>
      </x:c>
      <x:c r="G115" s="134" t="str">
        <x:v>奖励晚接触而非剧烈摇晃，保留时间控制玩法。</x:v>
      </x:c>
      <x:c r="H115" s="134" t="str">
        <x:v>首次接触其他物品时，自身本回合分值增加本回合已经过去的整秒数。</x:v>
      </x:c>
      <x:c r="I115" s="134" t="str">
        <x:v>首次接触其他物品时，自身本回合分值增加本回合已经过去的整秒数。</x:v>
      </x:c>
      <x:c r="J115" s="134" t="str">
        <x:v>V4→V5</x:v>
      </x:c>
    </x:row>
    <x:row r="116" ht="38" customHeight="1">
      <x:c r="A116" s="128" t="str">
        <x:v>物品</x:v>
      </x:c>
      <x:c r="B116" s="128" t="str">
        <x:v>I112</x:v>
      </x:c>
      <x:c r="C116" s="128" t="str">
        <x:v>沙漏</x:v>
      </x:c>
      <x:c r="D116" s="128" t="str">
        <x:v>合并</x:v>
      </x:c>
      <x:c r="E116" s="128" t="str">
        <x:v>退出当前目录</x:v>
      </x:c>
      <x:c r="F116" s="128" t="str">
        <x:v>I082 黄水晶</x:v>
      </x:c>
      <x:c r="G116" s="128" t="str">
        <x:v>重复黄水晶的低分成长支援，还增加结算成长的先后依赖；删除。</x:v>
      </x:c>
      <x:c r="H116" s="128" t="str">
        <x:v>结算结束时，与自身接触的成长物品中，若存在本回合已触发自身永久成长的物品，使其中基础分最低的1件永久基础分+1。</x:v>
      </x:c>
      <x:c r="I116" s="128" t="str">
        <x:v>从当前总表和奖励池移除；历史ID保留</x:v>
      </x:c>
      <x:c r="J116" s="128" t="str">
        <x:v>V4→V5</x:v>
      </x:c>
    </x:row>
    <x:row r="117" ht="30" customHeight="1">
      <x:c r="A117" s="134" t="str">
        <x:v>物品</x:v>
      </x:c>
      <x:c r="B117" s="134" t="str">
        <x:v>I113</x:v>
      </x:c>
      <x:c r="C117" s="134" t="str">
        <x:v>老树桩</x:v>
      </x:c>
      <x:c r="D117" s="134" t="str">
        <x:v>调整</x:v>
      </x:c>
      <x:c r="E117" s="134" t="str">
        <x:v>年轮树</x:v>
      </x:c>
      <x:c r="F117" s="134" t="str">
        <x:v>—</x:v>
      </x:c>
      <x:c r="G117" s="134" t="str">
        <x:v>仍会生长的树改名年轮树，避免死树桩自行增值的生命状态歧义。</x:v>
      </x:c>
      <x:c r="H117" s="134" t="str">
        <x:v>结算结束时，本回合从牌库抽中且存活时，自身永久基础分+1。</x:v>
      </x:c>
      <x:c r="I117" s="134" t="str">
        <x:v>结算结束时，本回合从牌库抽中且存活时，自身永久基础分+1。</x:v>
      </x:c>
      <x:c r="J117" s="134" t="str">
        <x:v>V4→V5</x:v>
      </x:c>
    </x:row>
    <x:row r="118" ht="30" customHeight="1">
      <x:c r="A118" s="128" t="str">
        <x:v>物品</x:v>
      </x:c>
      <x:c r="B118" s="128" t="str">
        <x:v>I114</x:v>
      </x:c>
      <x:c r="C118" s="128" t="str">
        <x:v>年轮盘</x:v>
      </x:c>
      <x:c r="D118" s="128" t="str">
        <x:v>保留</x:v>
      </x:c>
      <x:c r="E118" s="128" t="str">
        <x:v>年轮盘</x:v>
      </x:c>
      <x:c r="F118" s="128" t="str">
        <x:v>—</x:v>
      </x:c>
      <x:c r="G118" s="128" t="str">
        <x:v>按接触的已成长对象计分，作为成长队伍观察者。</x:v>
      </x:c>
      <x:c r="H118" s="128" t="str">
        <x:v>结算时，每接触1件永久基础分至少6的成长物品，自身本回合分值+4。</x:v>
      </x:c>
      <x:c r="I118" s="128" t="str">
        <x:v>结算时，每接触1件永久基础分至少6的成长物品，自身本回合分值+4。</x:v>
      </x:c>
      <x:c r="J118" s="128" t="str">
        <x:v>V4→V5</x:v>
      </x:c>
    </x:row>
    <x:row r="119" ht="30" customHeight="1">
      <x:c r="A119" s="134" t="str">
        <x:v>物品</x:v>
      </x:c>
      <x:c r="B119" s="134" t="str">
        <x:v>I115</x:v>
      </x:c>
      <x:c r="C119" s="134" t="str">
        <x:v>时光胶囊</x:v>
      </x:c>
      <x:c r="D119" s="134" t="str">
        <x:v>保留</x:v>
      </x:c>
      <x:c r="E119" s="134" t="str">
        <x:v>时光胶囊</x:v>
      </x:c>
      <x:c r="F119" s="134" t="str">
        <x:v>—</x:v>
      </x:c>
      <x:c r="G119" s="134" t="str">
        <x:v>累积存活出场后永久变形，区别于基础分线性成长。</x:v>
      </x:c>
      <x:c r="H119" s="134" t="str">
        <x:v>结算结束时，若自身存活，出场次数+1；累计达到3次时，永久变形为古物奖章。</x:v>
      </x:c>
      <x:c r="I119" s="134" t="str">
        <x:v>结算结束时，若自身存活，出场次数+1；累计达到3次时，永久变形为古物奖章。</x:v>
      </x:c>
      <x:c r="J119" s="134" t="str">
        <x:v>V4→V5</x:v>
      </x:c>
    </x:row>
    <x:row r="120" ht="38" customHeight="1">
      <x:c r="A120" s="128" t="str">
        <x:v>物品</x:v>
      </x:c>
      <x:c r="B120" s="128" t="str">
        <x:v>I116</x:v>
      </x:c>
      <x:c r="C120" s="128" t="str">
        <x:v>放大镜</x:v>
      </x:c>
      <x:c r="D120" s="128" t="str">
        <x:v>调整</x:v>
      </x:c>
      <x:c r="E120" s="128" t="str">
        <x:v>放大镜</x:v>
      </x:c>
      <x:c r="F120" s="128" t="str">
        <x:v>—</x:v>
      </x:c>
      <x:c r="G120" s="128" t="str">
        <x:v>放大镜统一增强接触的高分目标，不再无依据地排除工具。</x:v>
      </x:c>
      <x:c r="H120" s="128" t="str">
        <x:v>结算时，与自身接触的非工具物品中，冻结分值最高者结算倍率+100%，但该冻结分值需至少8。</x:v>
      </x:c>
      <x:c r="I120" s="128" t="str">
        <x:v>结算时，与自身接触的物品中，冻结分值最高者结算倍率+100%，但该冻结分值需至少为8。</x:v>
      </x:c>
      <x:c r="J120" s="128" t="str">
        <x:v>V4→V5</x:v>
      </x:c>
    </x:row>
    <x:row r="121" ht="30" customHeight="1">
      <x:c r="A121" s="134" t="str">
        <x:v>物品</x:v>
      </x:c>
      <x:c r="B121" s="134" t="str">
        <x:v>I117</x:v>
      </x:c>
      <x:c r="C121" s="134" t="str">
        <x:v>指挥旗</x:v>
      </x:c>
      <x:c r="D121" s="134" t="str">
        <x:v>保留</x:v>
      </x:c>
      <x:c r="E121" s="134" t="str">
        <x:v>指挥旗</x:v>
      </x:c>
      <x:c r="F121" s="134" t="str">
        <x:v>—</x:v>
      </x:c>
      <x:c r="G121" s="134" t="str">
        <x:v>照顾低分接触对象，区别于高分核心放大。</x:v>
      </x:c>
      <x:c r="H121" s="134" t="str">
        <x:v>结算时，与自身接触的物品中，冻结分值最低的2件各本回合分值+4。</x:v>
      </x:c>
      <x:c r="I121" s="134" t="str">
        <x:v>结算时，与自身接触的物品中，冻结分值最低的2件各本回合分值+4。</x:v>
      </x:c>
      <x:c r="J121" s="134" t="str">
        <x:v>V4→V5</x:v>
      </x:c>
    </x:row>
    <x:row r="122" ht="38" customHeight="1">
      <x:c r="A122" s="128" t="str">
        <x:v>物品</x:v>
      </x:c>
      <x:c r="B122" s="128" t="str">
        <x:v>I118</x:v>
      </x:c>
      <x:c r="C122" s="128" t="str">
        <x:v>平衡秤</x:v>
      </x:c>
      <x:c r="D122" s="128" t="str">
        <x:v>保留</x:v>
      </x:c>
      <x:c r="E122" s="128" t="str">
        <x:v>平衡秤</x:v>
      </x:c>
      <x:c r="F122" s="128" t="str">
        <x:v>—</x:v>
      </x:c>
      <x:c r="G122" s="128" t="str">
        <x:v>按冻结分值差距补低，与固定加分和单体倍率不同。</x:v>
      </x:c>
      <x:c r="H122" s="128" t="str">
        <x:v>结算时，比较与自身接触的物品中最高和最低冻结分值，使最低者本回合分值增加差值的一半，向下取整。</x:v>
      </x:c>
      <x:c r="I122" s="128" t="str">
        <x:v>结算时，比较与自身接触的物品中最高和最低冻结分值，使最低者本回合分值增加差值的一半，向下取整。</x:v>
      </x:c>
      <x:c r="J122" s="128" t="str">
        <x:v>V4→V5</x:v>
      </x:c>
    </x:row>
    <x:row r="123" ht="38" customHeight="1">
      <x:c r="A123" s="134" t="str">
        <x:v>物品</x:v>
      </x:c>
      <x:c r="B123" s="134" t="str">
        <x:v>I119</x:v>
      </x:c>
      <x:c r="C123" s="134" t="str">
        <x:v>吊床</x:v>
      </x:c>
      <x:c r="D123" s="134" t="str">
        <x:v>调整</x:v>
      </x:c>
      <x:c r="E123" s="134" t="str">
        <x:v>吊床</x:v>
      </x:c>
      <x:c r="F123" s="134" t="str">
        <x:v>—</x:v>
      </x:c>
      <x:c r="G123" s="134" t="str">
        <x:v>吊床以两株植物作为支撑，不再读取难观察的接触历史次数。</x:v>
      </x:c>
      <x:c r="H123" s="134" t="str">
        <x:v>结算时，若本回合接触过的其他物品不超过2件，自身本回合分值+6。另外，若自身与植物接触，自身本回合分值+3。</x:v>
      </x:c>
      <x:c r="I123" s="134" t="str">
        <x:v>结算时，若自身与至少2株植物接触，自身本回合分值+6。</x:v>
      </x:c>
      <x:c r="J123" s="134" t="str">
        <x:v>V4→V5</x:v>
      </x:c>
    </x:row>
    <x:row r="124" ht="38" customHeight="1">
      <x:c r="A124" s="128" t="str">
        <x:v>物品</x:v>
      </x:c>
      <x:c r="B124" s="128" t="str">
        <x:v>I120</x:v>
      </x:c>
      <x:c r="C124" s="128" t="str">
        <x:v>桂冠</x:v>
      </x:c>
      <x:c r="D124" s="128" t="str">
        <x:v>保留</x:v>
      </x:c>
      <x:c r="E124" s="128" t="str">
        <x:v>桂冠</x:v>
      </x:c>
      <x:c r="F124" s="128" t="str">
        <x:v>—</x:v>
      </x:c>
      <x:c r="G124" s="128" t="str">
        <x:v>全瓶唯一最高分核心，与局部放大镜的范围和并列条件不同。</x:v>
      </x:c>
      <x:c r="H124" s="128" t="str">
        <x:v>结算时，瓶中冻结分值唯一最高的物品结算倍率+100%；若其永久基础分至少为10，则该物品结算倍率再+50%。</x:v>
      </x:c>
      <x:c r="I124" s="128" t="str">
        <x:v>结算时，瓶中冻结分值唯一最高的物品结算倍率+100%；若其永久基础分至少为10，则该物品结算倍率再+50%。</x:v>
      </x:c>
      <x:c r="J124" s="128" t="str">
        <x:v>V4→V5</x:v>
      </x:c>
    </x:row>
    <x:row r="125" ht="30" customHeight="1">
      <x:c r="A125" s="134" t="str">
        <x:v>物品</x:v>
      </x:c>
      <x:c r="B125" s="134" t="str">
        <x:v>I121</x:v>
      </x:c>
      <x:c r="C125" s="134" t="str">
        <x:v>剪毛剪</x:v>
      </x:c>
      <x:c r="D125" s="134" t="str">
        <x:v>保留</x:v>
      </x:c>
      <x:c r="E125" s="134" t="str">
        <x:v>剪毛剪</x:v>
      </x:c>
      <x:c r="F125" s="134" t="str">
        <x:v>—</x:v>
      </x:c>
      <x:c r="G125" s="134" t="str">
        <x:v>羊毛生产的专用工具，同时小幅增强绵羊。</x:v>
      </x:c>
      <x:c r="H125" s="134" t="str">
        <x:v>接触绵羊时，使该绵羊本回合分值+2。</x:v>
      </x:c>
      <x:c r="I125" s="134" t="str">
        <x:v>接触绵羊时，使该绵羊本回合分值+2。</x:v>
      </x:c>
      <x:c r="J125" s="134" t="str">
        <x:v>V4→V5</x:v>
      </x:c>
    </x:row>
    <x:row r="126" ht="30" customHeight="1">
      <x:c r="A126" s="128" t="str">
        <x:v>物品</x:v>
      </x:c>
      <x:c r="B126" s="128" t="str">
        <x:v>P001</x:v>
      </x:c>
      <x:c r="C126" s="128" t="str">
        <x:v>热餐</x:v>
      </x:c>
      <x:c r="D126" s="128" t="str">
        <x:v>保留</x:v>
      </x:c>
      <x:c r="E126" s="128" t="str">
        <x:v>热餐</x:v>
      </x:c>
      <x:c r="F126" s="128" t="str">
        <x:v>—</x:v>
      </x:c>
      <x:c r="G126" s="128" t="str">
        <x:v>食材加工的稳定产物，无食材标签，避免反复烹饪。</x:v>
      </x:c>
      <x:c r="H126" s="128" t="str">
        <x:v>无额外能力。</x:v>
      </x:c>
      <x:c r="I126" s="128" t="str">
        <x:v>无主动效果。</x:v>
      </x:c>
      <x:c r="J126" s="128" t="str">
        <x:v>V4→V5</x:v>
      </x:c>
    </x:row>
    <x:row r="127" ht="30" customHeight="1">
      <x:c r="A127" s="134" t="str">
        <x:v>物品</x:v>
      </x:c>
      <x:c r="B127" s="134" t="str">
        <x:v>P003</x:v>
      </x:c>
      <x:c r="C127" s="134" t="str">
        <x:v>水珠</x:v>
      </x:c>
      <x:c r="D127" s="134" t="str">
        <x:v>调整</x:v>
      </x:c>
      <x:c r="E127" s="134" t="str">
        <x:v>水珠</x:v>
      </x:c>
      <x:c r="F127" s="134" t="str">
        <x:v>—</x:v>
      </x:c>
      <x:c r="G127" s="134" t="str">
        <x:v>供水来源同步移除泉眼，水珠是唯一通用液态水原料。</x:v>
      </x:c>
      <x:c r="H127" s="134" t="str">
        <x:v>无额外能力。</x:v>
      </x:c>
      <x:c r="I127" s="134" t="str">
        <x:v>无主动效果。</x:v>
      </x:c>
      <x:c r="J127" s="134" t="str">
        <x:v>V4→V5</x:v>
      </x:c>
    </x:row>
    <x:row r="128" ht="30" customHeight="1">
      <x:c r="A128" s="128" t="str">
        <x:v>物品</x:v>
      </x:c>
      <x:c r="B128" s="128" t="str">
        <x:v>P004</x:v>
      </x:c>
      <x:c r="C128" s="128" t="str">
        <x:v>嫩芽</x:v>
      </x:c>
      <x:c r="D128" s="128" t="str">
        <x:v>调整</x:v>
      </x:c>
      <x:c r="E128" s="128" t="str">
        <x:v>花株</x:v>
      </x:c>
      <x:c r="F128" s="128" t="str">
        <x:v>—</x:v>
      </x:c>
      <x:c r="G128" s="128" t="str">
        <x:v>对应幼苗浇水后的成熟开花形态，补充可授粉标签。</x:v>
      </x:c>
      <x:c r="H128" s="128" t="str">
        <x:v>结算时，若自身与其他植物接触，自身本回合分值+2。</x:v>
      </x:c>
      <x:c r="I128" s="128" t="str">
        <x:v>结算时，若自身与其他植物接触，自身本回合分值+2。</x:v>
      </x:c>
      <x:c r="J128" s="128" t="str">
        <x:v>V4→V5</x:v>
      </x:c>
    </x:row>
    <x:row r="129" ht="30" customHeight="1">
      <x:c r="A129" s="134" t="str">
        <x:v>物品</x:v>
      </x:c>
      <x:c r="B129" s="134" t="str">
        <x:v>P005</x:v>
      </x:c>
      <x:c r="C129" s="134" t="str">
        <x:v>葡萄</x:v>
      </x:c>
      <x:c r="D129" s="134" t="str">
        <x:v>调整</x:v>
      </x:c>
      <x:c r="E129" s="134" t="str">
        <x:v>葡萄</x:v>
      </x:c>
      <x:c r="F129" s="134" t="str">
        <x:v>—</x:v>
      </x:c>
      <x:c r="G129" s="134" t="str">
        <x:v>摘下的葡萄是食材，不再参与植物培养或授粉。</x:v>
      </x:c>
      <x:c r="H129" s="134" t="str">
        <x:v>无额外能力。</x:v>
      </x:c>
      <x:c r="I129" s="134" t="str">
        <x:v>无主动效果。</x:v>
      </x:c>
      <x:c r="J129" s="134" t="str">
        <x:v>V4→V5</x:v>
      </x:c>
    </x:row>
    <x:row r="130" ht="30" customHeight="1">
      <x:c r="A130" s="128" t="str">
        <x:v>物品</x:v>
      </x:c>
      <x:c r="B130" s="128" t="str">
        <x:v>P006</x:v>
      </x:c>
      <x:c r="C130" s="128" t="str">
        <x:v>苹果</x:v>
      </x:c>
      <x:c r="D130" s="128" t="str">
        <x:v>调整</x:v>
      </x:c>
      <x:c r="E130" s="128" t="str">
        <x:v>苹果</x:v>
      </x:c>
      <x:c r="F130" s="128" t="str">
        <x:v>—</x:v>
      </x:c>
      <x:c r="G130" s="128" t="str">
        <x:v>摘下的苹果是食材，不再参与植物培养或授粉。</x:v>
      </x:c>
      <x:c r="H130" s="128" t="str">
        <x:v>无额外能力。</x:v>
      </x:c>
      <x:c r="I130" s="128" t="str">
        <x:v>无主动效果。</x:v>
      </x:c>
      <x:c r="J130" s="128" t="str">
        <x:v>V4→V5</x:v>
      </x:c>
    </x:row>
    <x:row r="131" ht="30" customHeight="1">
      <x:c r="A131" s="134" t="str">
        <x:v>物品</x:v>
      </x:c>
      <x:c r="B131" s="134" t="str">
        <x:v>P007</x:v>
      </x:c>
      <x:c r="C131" s="134" t="str">
        <x:v>蜂蜜</x:v>
      </x:c>
      <x:c r="D131" s="134" t="str">
        <x:v>保留</x:v>
      </x:c>
      <x:c r="E131" s="134" t="str">
        <x:v>蜂蜜</x:v>
      </x:c>
      <x:c r="F131" s="134" t="str">
        <x:v>—</x:v>
      </x:c>
      <x:c r="G131" s="134" t="str">
        <x:v>授粉后的食材商品，可进入烹饪或交易。</x:v>
      </x:c>
      <x:c r="H131" s="134" t="str">
        <x:v>无额外能力。</x:v>
      </x:c>
      <x:c r="I131" s="134" t="str">
        <x:v>无主动效果。</x:v>
      </x:c>
      <x:c r="J131" s="134" t="str">
        <x:v>V4→V5</x:v>
      </x:c>
    </x:row>
    <x:row r="132" ht="30" customHeight="1">
      <x:c r="A132" s="128" t="str">
        <x:v>物品</x:v>
      </x:c>
      <x:c r="B132" s="128" t="str">
        <x:v>P008</x:v>
      </x:c>
      <x:c r="C132" s="128" t="str">
        <x:v>蛋</x:v>
      </x:c>
      <x:c r="D132" s="128" t="str">
        <x:v>保留</x:v>
      </x:c>
      <x:c r="E132" s="128" t="str">
        <x:v>蛋</x:v>
      </x:c>
      <x:c r="F132" s="128" t="str">
        <x:v>—</x:v>
      </x:c>
      <x:c r="G132" s="128" t="str">
        <x:v>生蛋、烹饪、孵化共用原料，明确按实例消耗。</x:v>
      </x:c>
      <x:c r="H132" s="128" t="str">
        <x:v>无额外能力。</x:v>
      </x:c>
      <x:c r="I132" s="128" t="str">
        <x:v>无主动效果。</x:v>
      </x:c>
      <x:c r="J132" s="128" t="str">
        <x:v>V4→V5</x:v>
      </x:c>
    </x:row>
    <x:row r="133" ht="30" customHeight="1">
      <x:c r="A133" s="134" t="str">
        <x:v>物品</x:v>
      </x:c>
      <x:c r="B133" s="134" t="str">
        <x:v>P009</x:v>
      </x:c>
      <x:c r="C133" s="134" t="str">
        <x:v>牛奶</x:v>
      </x:c>
      <x:c r="D133" s="134" t="str">
        <x:v>保留</x:v>
      </x:c>
      <x:c r="E133" s="134" t="str">
        <x:v>牛奶</x:v>
      </x:c>
      <x:c r="F133" s="134" t="str">
        <x:v>—</x:v>
      </x:c>
      <x:c r="G133" s="134" t="str">
        <x:v>奶牛产物，支持食材与商品两种用途。</x:v>
      </x:c>
      <x:c r="H133" s="134" t="str">
        <x:v>无额外能力。</x:v>
      </x:c>
      <x:c r="I133" s="134" t="str">
        <x:v>无主动效果。</x:v>
      </x:c>
      <x:c r="J133" s="134" t="str">
        <x:v>V4→V5</x:v>
      </x:c>
    </x:row>
    <x:row r="134" ht="30" customHeight="1">
      <x:c r="A134" s="128" t="str">
        <x:v>物品</x:v>
      </x:c>
      <x:c r="B134" s="128" t="str">
        <x:v>P010</x:v>
      </x:c>
      <x:c r="C134" s="128" t="str">
        <x:v>羊毛</x:v>
      </x:c>
      <x:c r="D134" s="128" t="str">
        <x:v>保留</x:v>
      </x:c>
      <x:c r="E134" s="128" t="str">
        <x:v>羊毛</x:v>
      </x:c>
      <x:c r="F134" s="128" t="str">
        <x:v>—</x:v>
      </x:c>
      <x:c r="G134" s="128" t="str">
        <x:v>绵羊与剪毛剪的永久产物，保留交易用途。</x:v>
      </x:c>
      <x:c r="H134" s="128" t="str">
        <x:v>无额外能力。</x:v>
      </x:c>
      <x:c r="I134" s="128" t="str">
        <x:v>无主动效果。</x:v>
      </x:c>
      <x:c r="J134" s="128" t="str">
        <x:v>V4→V5</x:v>
      </x:c>
    </x:row>
    <x:row r="135" ht="30" customHeight="1">
      <x:c r="A135" s="134" t="str">
        <x:v>物品</x:v>
      </x:c>
      <x:c r="B135" s="134" t="str">
        <x:v>P011</x:v>
      </x:c>
      <x:c r="C135" s="134" t="str">
        <x:v>雏鸟</x:v>
      </x:c>
      <x:c r="D135" s="134" t="str">
        <x:v>保留</x:v>
      </x:c>
      <x:c r="E135" s="134" t="str">
        <x:v>雏鸟</x:v>
      </x:c>
      <x:c r="F135" s="134" t="str">
        <x:v>—</x:v>
      </x:c>
      <x:c r="G135" s="134" t="str">
        <x:v>孵化蛋的永久动物成果，不自带产蛋能力。</x:v>
      </x:c>
      <x:c r="H135" s="134" t="str">
        <x:v>无额外能力。</x:v>
      </x:c>
      <x:c r="I135" s="134" t="str">
        <x:v>无主动效果。</x:v>
      </x:c>
      <x:c r="J135" s="134" t="str">
        <x:v>V4→V5</x:v>
      </x:c>
    </x:row>
    <x:row r="136" ht="30" customHeight="1">
      <x:c r="A136" s="128" t="str">
        <x:v>物品</x:v>
      </x:c>
      <x:c r="B136" s="128" t="str">
        <x:v>P012</x:v>
      </x:c>
      <x:c r="C136" s="128" t="str">
        <x:v>彩翼蝶</x:v>
      </x:c>
      <x:c r="D136" s="128" t="str">
        <x:v>调整</x:v>
      </x:c>
      <x:c r="E136" s="128" t="str">
        <x:v>彩翼蝶</x:v>
      </x:c>
      <x:c r="F136" s="128" t="str">
        <x:v>—</x:v>
      </x:c>
      <x:c r="G136" s="128" t="str">
        <x:v>蝴蝶只辅助开花植物，不给谷物或摘下的水果授粉。</x:v>
      </x:c>
      <x:c r="H136" s="128" t="str">
        <x:v>接触植物时，使该植物本回合分值+3。</x:v>
      </x:c>
      <x:c r="I136" s="128" t="str">
        <x:v>接触开花植物时，使该植物本回合分值+3。</x:v>
      </x:c>
      <x:c r="J136" s="128" t="str">
        <x:v>V4→V5</x:v>
      </x:c>
    </x:row>
    <x:row r="137" ht="30" customHeight="1">
      <x:c r="A137" s="134" t="str">
        <x:v>物品</x:v>
      </x:c>
      <x:c r="B137" s="134" t="str">
        <x:v>P013</x:v>
      </x:c>
      <x:c r="C137" s="134" t="str">
        <x:v>小石子</x:v>
      </x:c>
      <x:c r="D137" s="134" t="str">
        <x:v>调整</x:v>
      </x:c>
      <x:c r="E137" s="134" t="str">
        <x:v>矿砂</x:v>
      </x:c>
      <x:c r="F137" s="134" t="str">
        <x:v>—</x:v>
      </x:c>
      <x:c r="G137" s="134" t="str">
        <x:v>明确为待筛选的含矿颗粒，产自矿镐，不由袋子凭空复制。</x:v>
      </x:c>
      <x:c r="H137" s="134" t="str">
        <x:v>无额外能力。</x:v>
      </x:c>
      <x:c r="I137" s="134" t="str">
        <x:v>无主动效果。</x:v>
      </x:c>
      <x:c r="J137" s="134" t="str">
        <x:v>V4→V5</x:v>
      </x:c>
    </x:row>
    <x:row r="138" ht="30" customHeight="1">
      <x:c r="A138" s="128" t="str">
        <x:v>物品</x:v>
      </x:c>
      <x:c r="B138" s="128" t="str">
        <x:v>P014</x:v>
      </x:c>
      <x:c r="C138" s="128" t="str">
        <x:v>晶屑</x:v>
      </x:c>
      <x:c r="D138" s="128" t="str">
        <x:v>调整</x:v>
      </x:c>
      <x:c r="E138" s="128" t="str">
        <x:v>晶屑</x:v>
      </x:c>
      <x:c r="F138" s="128" t="str">
        <x:v>—</x:v>
      </x:c>
      <x:c r="G138" s="128" t="str">
        <x:v>同步筛矿、切割与开箱三种来源，切割的基础分特例明确写出。</x:v>
      </x:c>
      <x:c r="H138" s="128" t="str">
        <x:v>无额外能力；宝石原胚生成的晶屑基础分为8。</x:v>
      </x:c>
      <x:c r="I138" s="128" t="str">
        <x:v>无主动效果；宝石切割器生成的晶屑基础分为8。</x:v>
      </x:c>
      <x:c r="J138" s="128" t="str">
        <x:v>V4→V5</x:v>
      </x:c>
    </x:row>
    <x:row r="139" ht="30" customHeight="1">
      <x:c r="A139" s="134" t="str">
        <x:v>物品</x:v>
      </x:c>
      <x:c r="B139" s="134" t="str">
        <x:v>P015</x:v>
      </x:c>
      <x:c r="C139" s="134" t="str">
        <x:v>金砂</x:v>
      </x:c>
      <x:c r="D139" s="134" t="str">
        <x:v>保留</x:v>
      </x:c>
      <x:c r="E139" s="134" t="str">
        <x:v>金砂</x:v>
      </x:c>
      <x:c r="F139" s="134" t="str">
        <x:v>—</x:v>
      </x:c>
      <x:c r="G139" s="134" t="str">
        <x:v>筛矿的货币分支，与晶屑宝石分支不同。</x:v>
      </x:c>
      <x:c r="H139" s="134" t="str">
        <x:v>无额外能力。</x:v>
      </x:c>
      <x:c r="I139" s="134" t="str">
        <x:v>无主动效果。</x:v>
      </x:c>
      <x:c r="J139" s="134" t="str">
        <x:v>V4→V5</x:v>
      </x:c>
    </x:row>
    <x:row r="140" ht="30" customHeight="1">
      <x:c r="A140" s="128" t="str">
        <x:v>物品</x:v>
      </x:c>
      <x:c r="B140" s="128" t="str">
        <x:v>P016</x:v>
      </x:c>
      <x:c r="C140" s="128" t="str">
        <x:v>金属锭</x:v>
      </x:c>
      <x:c r="D140" s="128" t="str">
        <x:v>调整</x:v>
      </x:c>
      <x:c r="E140" s="128" t="str">
        <x:v>铁锭</x:v>
      </x:c>
      <x:c r="F140" s="128" t="str">
        <x:v>—</x:v>
      </x:c>
      <x:c r="G140" s="128" t="str">
        <x:v>铁矿熔炼得到铁锭，明确支持磁铁；不是不分材质的通用金属。</x:v>
      </x:c>
      <x:c r="H140" s="128" t="str">
        <x:v>无额外能力。</x:v>
      </x:c>
      <x:c r="I140" s="128" t="str">
        <x:v>无主动效果。</x:v>
      </x:c>
      <x:c r="J140" s="128" t="str">
        <x:v>V4→V5</x:v>
      </x:c>
    </x:row>
    <x:row r="141" ht="30" customHeight="1">
      <x:c r="A141" s="134" t="str">
        <x:v>物品</x:v>
      </x:c>
      <x:c r="B141" s="134" t="str">
        <x:v>P017</x:v>
      </x:c>
      <x:c r="C141" s="134" t="str">
        <x:v>火星</x:v>
      </x:c>
      <x:c r="D141" s="134" t="str">
        <x:v>调整</x:v>
      </x:c>
      <x:c r="E141" s="134" t="str">
        <x:v>火星</x:v>
      </x:c>
      <x:c r="F141" s="134" t="str">
        <x:v>—</x:v>
      </x:c>
      <x:c r="G141" s="134" t="str">
        <x:v>移除水变火星的换热器来源。</x:v>
      </x:c>
      <x:c r="H141" s="134" t="str">
        <x:v>无额外能力；可为工具点火或满足火元素接触条件。</x:v>
      </x:c>
      <x:c r="I141" s="134" t="str">
        <x:v>无主动效果；可为工具点火或满足火元素接触条件。</x:v>
      </x:c>
      <x:c r="J141" s="134" t="str">
        <x:v>V4→V5</x:v>
      </x:c>
    </x:row>
    <x:row r="142" ht="30" customHeight="1">
      <x:c r="A142" s="128" t="str">
        <x:v>物品</x:v>
      </x:c>
      <x:c r="B142" s="128" t="str">
        <x:v>P018</x:v>
      </x:c>
      <x:c r="C142" s="128" t="str">
        <x:v>礼花</x:v>
      </x:c>
      <x:c r="D142" s="128" t="str">
        <x:v>保留</x:v>
      </x:c>
      <x:c r="E142" s="128" t="str">
        <x:v>礼花</x:v>
      </x:c>
      <x:c r="F142" s="128" t="str">
        <x:v>—</x:v>
      </x:c>
      <x:c r="G142" s="128" t="str">
        <x:v>鞭炮的短期爆发产物，拥有真实火元素标签。</x:v>
      </x:c>
      <x:c r="H142" s="128" t="str">
        <x:v>无额外能力。</x:v>
      </x:c>
      <x:c r="I142" s="128" t="str">
        <x:v>无主动效果。</x:v>
      </x:c>
      <x:c r="J142" s="128" t="str">
        <x:v>V4→V5</x:v>
      </x:c>
    </x:row>
    <x:row r="143" ht="30" customHeight="1">
      <x:c r="A143" s="134" t="str">
        <x:v>物品</x:v>
      </x:c>
      <x:c r="B143" s="134" t="str">
        <x:v>P019</x:v>
      </x:c>
      <x:c r="C143" s="134" t="str">
        <x:v>蒸汽</x:v>
      </x:c>
      <x:c r="D143" s="134" t="str">
        <x:v>调整</x:v>
      </x:c>
      <x:c r="E143" s="134" t="str">
        <x:v>蒸汽</x:v>
      </x:c>
      <x:c r="F143" s="134" t="str">
        <x:v>—</x:v>
      </x:c>
      <x:c r="G143" s="134" t="str">
        <x:v>蒸汽不再带火元素或水元素标签，不能点火、融冰或浇灌植物。</x:v>
      </x:c>
      <x:c r="H143" s="134" t="str">
        <x:v>同时属于水元素与火元素；但不是水珠，锅炉不能处理。</x:v>
      </x:c>
      <x:c r="I143" s="134" t="str">
        <x:v>无主动效果。</x:v>
      </x:c>
      <x:c r="J143" s="134" t="str">
        <x:v>V4→V5</x:v>
      </x:c>
    </x:row>
    <x:row r="144" ht="30" customHeight="1">
      <x:c r="A144" s="128" t="str">
        <x:v>物品</x:v>
      </x:c>
      <x:c r="B144" s="128" t="str">
        <x:v>P020</x:v>
      </x:c>
      <x:c r="C144" s="128" t="str">
        <x:v>零钱</x:v>
      </x:c>
      <x:c r="D144" s="128" t="str">
        <x:v>调整</x:v>
      </x:c>
      <x:c r="E144" s="128" t="str">
        <x:v>零钱</x:v>
      </x:c>
      <x:c r="F144" s="128" t="str">
        <x:v>—</x:v>
      </x:c>
      <x:c r="G144" s="128" t="str">
        <x:v>移除已退役礼帽的生成来源。</x:v>
      </x:c>
      <x:c r="H144" s="128" t="str">
        <x:v>无额外能力。</x:v>
      </x:c>
      <x:c r="I144" s="128" t="str">
        <x:v>无主动效果。</x:v>
      </x:c>
      <x:c r="J144" s="128" t="str">
        <x:v>V4→V5</x:v>
      </x:c>
    </x:row>
    <x:row r="145" ht="30" customHeight="1">
      <x:c r="A145" s="134" t="str">
        <x:v>物品</x:v>
      </x:c>
      <x:c r="B145" s="134" t="str">
        <x:v>P021</x:v>
      </x:c>
      <x:c r="C145" s="134" t="str">
        <x:v>纸影</x:v>
      </x:c>
      <x:c r="D145" s="134" t="str">
        <x:v>保留</x:v>
      </x:c>
      <x:c r="E145" s="134" t="str">
        <x:v>纸影</x:v>
      </x:c>
      <x:c r="F145" s="134" t="str">
        <x:v>—</x:v>
      </x:c>
      <x:c r="G145" s="134" t="str">
        <x:v>仅复制分值的纸质临时形象，无原技能，不能无限复制。</x:v>
      </x:c>
      <x:c r="H145" s="134" t="str">
        <x:v>基础分为复印机目标当时的当前分值，上限12；不复制能力或其他标签。</x:v>
      </x:c>
      <x:c r="I145" s="134" t="str">
        <x:v>基础分为复印机目标当时的当前分值，上限12；不复制能力或其他标签。</x:v>
      </x:c>
      <x:c r="J145" s="134" t="str">
        <x:v>V4→V5</x:v>
      </x:c>
    </x:row>
    <x:row r="146" ht="30" customHeight="1">
      <x:c r="A146" s="128" t="str">
        <x:v>物品</x:v>
      </x:c>
      <x:c r="B146" s="128" t="str">
        <x:v>P022</x:v>
      </x:c>
      <x:c r="C146" s="128" t="str">
        <x:v>幽灵</x:v>
      </x:c>
      <x:c r="D146" s="128" t="str">
        <x:v>保留</x:v>
      </x:c>
      <x:c r="E146" s="128" t="str">
        <x:v>幽灵</x:v>
      </x:c>
      <x:c r="F146" s="128" t="str">
        <x:v>—</x:v>
      </x:c>
      <x:c r="G146" s="128" t="str">
        <x:v>可保留或消耗的灵魂资源，自带有限被消耗计分。</x:v>
      </x:c>
      <x:c r="H146" s="128" t="str">
        <x:v>被消耗时，直接计分2。</x:v>
      </x:c>
      <x:c r="I146" s="128" t="str">
        <x:v>被消耗时，直接计分2。</x:v>
      </x:c>
      <x:c r="J146" s="128" t="str">
        <x:v>V4→V5</x:v>
      </x:c>
    </x:row>
    <x:row r="147" ht="30" customHeight="1">
      <x:c r="A147" s="134" t="str">
        <x:v>物品</x:v>
      </x:c>
      <x:c r="B147" s="134" t="str">
        <x:v>P023</x:v>
      </x:c>
      <x:c r="C147" s="134" t="str">
        <x:v>魂火</x:v>
      </x:c>
      <x:c r="D147" s="134" t="str">
        <x:v>保留</x:v>
      </x:c>
      <x:c r="E147" s="134" t="str">
        <x:v>魂火</x:v>
      </x:c>
      <x:c r="F147" s="134" t="str">
        <x:v>—</x:v>
      </x:c>
      <x:c r="G147" s="134" t="str">
        <x:v>纸人或纸影焚化得到的魔法火源，明确临时存在。</x:v>
      </x:c>
      <x:c r="H147" s="134" t="str">
        <x:v>无额外能力。</x:v>
      </x:c>
      <x:c r="I147" s="134" t="str">
        <x:v>无主动效果。</x:v>
      </x:c>
      <x:c r="J147" s="134" t="str">
        <x:v>V4→V5</x:v>
      </x:c>
    </x:row>
    <x:row r="148" ht="30" customHeight="1">
      <x:c r="A148" s="128" t="str">
        <x:v>物品</x:v>
      </x:c>
      <x:c r="B148" s="128" t="str">
        <x:v>P024</x:v>
      </x:c>
      <x:c r="C148" s="128" t="str">
        <x:v>宝藏徽记</x:v>
      </x:c>
      <x:c r="D148" s="128" t="str">
        <x:v>保留</x:v>
      </x:c>
      <x:c r="E148" s="128" t="str">
        <x:v>宝藏徽记</x:v>
      </x:c>
      <x:c r="F148" s="128" t="str">
        <x:v>—</x:v>
      </x:c>
      <x:c r="G148" s="128" t="str">
        <x:v>开箱得到的宝石战利品，接入宝石与商品玩法。</x:v>
      </x:c>
      <x:c r="H148" s="128" t="str">
        <x:v>无额外能力。</x:v>
      </x:c>
      <x:c r="I148" s="128" t="str">
        <x:v>无主动效果。</x:v>
      </x:c>
      <x:c r="J148" s="128" t="str">
        <x:v>V4→V5</x:v>
      </x:c>
    </x:row>
    <x:row r="149" ht="30" customHeight="1">
      <x:c r="A149" s="134" t="str">
        <x:v>物品</x:v>
      </x:c>
      <x:c r="B149" s="134" t="str">
        <x:v>P025</x:v>
      </x:c>
      <x:c r="C149" s="134" t="str">
        <x:v>奖杯</x:v>
      </x:c>
      <x:c r="D149" s="134" t="str">
        <x:v>保留</x:v>
      </x:c>
      <x:c r="E149" s="134" t="str">
        <x:v>奖杯</x:v>
      </x:c>
      <x:c r="F149" s="134" t="str">
        <x:v>—</x:v>
      </x:c>
      <x:c r="G149" s="134" t="str">
        <x:v>击败巨像得到的高价战利品，不指定含铁材质。</x:v>
      </x:c>
      <x:c r="H149" s="134" t="str">
        <x:v>无额外能力。</x:v>
      </x:c>
      <x:c r="I149" s="134" t="str">
        <x:v>无主动效果。</x:v>
      </x:c>
      <x:c r="J149" s="134" t="str">
        <x:v>V4→V5</x:v>
      </x:c>
    </x:row>
    <x:row r="150" ht="30" customHeight="1">
      <x:c r="A150" s="128" t="str">
        <x:v>物品</x:v>
      </x:c>
      <x:c r="B150" s="128" t="str">
        <x:v>P026</x:v>
      </x:c>
      <x:c r="C150" s="128" t="str">
        <x:v>古物奖章</x:v>
      </x:c>
      <x:c r="D150" s="128" t="str">
        <x:v>调整</x:v>
      </x:c>
      <x:c r="E150" s="128" t="str">
        <x:v>古物奖章</x:v>
      </x:c>
      <x:c r="F150" s="128" t="str">
        <x:v>—</x:v>
      </x:c>
      <x:c r="G150" s="128" t="str">
        <x:v>永久变形不是生成，黄玉不能复制时光胶囊的变形成果。</x:v>
      </x:c>
      <x:c r="H150" s="128" t="str">
        <x:v>结算时，自身本回合分值+2；若自身与成长物品接触，自身本回合分值再+4。</x:v>
      </x:c>
      <x:c r="I150" s="128" t="str">
        <x:v>结算时，自身本回合分值+2；若自身与成长物品接触，自身本回合分值再+4。</x:v>
      </x:c>
      <x:c r="J150" s="128" t="str">
        <x:v>V4→V5</x:v>
      </x:c>
    </x:row>
    <x:row r="151" ht="30" customHeight="1">
      <x:c r="A151" s="134" t="str">
        <x:v>物品</x:v>
      </x:c>
      <x:c r="B151" s="134" t="str">
        <x:v>P027</x:v>
      </x:c>
      <x:c r="C151" s="134" t="str">
        <x:v>饼干屑</x:v>
      </x:c>
      <x:c r="D151" s="134" t="str">
        <x:v>调整</x:v>
      </x:c>
      <x:c r="E151" s="134" t="str">
        <x:v>饼干屑</x:v>
      </x:c>
      <x:c r="F151" s="134" t="str">
        <x:v>—</x:v>
      </x:c>
      <x:c r="G151" s="134" t="str">
        <x:v>餐后点心属于遗物追加生成，不能再次触发黄玉；同步删去错误来源。</x:v>
      </x:c>
      <x:c r="H151" s="134" t="str">
        <x:v>无额外能力。</x:v>
      </x:c>
      <x:c r="I151" s="134" t="str">
        <x:v>无主动效果。</x:v>
      </x:c>
      <x:c r="J151" s="134" t="str">
        <x:v>V4→V5</x:v>
      </x:c>
    </x:row>
    <x:row r="152" ht="30" customHeight="1">
      <x:c r="A152" s="128" t="str">
        <x:v>物品</x:v>
      </x:c>
      <x:c r="B152" s="128" t="str">
        <x:v>P028</x:v>
      </x:c>
      <x:c r="C152" s="128" t="str">
        <x:v>花粉</x:v>
      </x:c>
      <x:c r="D152" s="128" t="str">
        <x:v>调整</x:v>
      </x:c>
      <x:c r="E152" s="128" t="str">
        <x:v>花粉</x:v>
      </x:c>
      <x:c r="F152" s="128" t="str">
        <x:v>—</x:v>
      </x:c>
      <x:c r="G152" s="128" t="str">
        <x:v>花粉不是整株植物，不接受浇灌、温室或成簇奖励。</x:v>
      </x:c>
      <x:c r="H152" s="128" t="str">
        <x:v>无额外能力。</x:v>
      </x:c>
      <x:c r="I152" s="128" t="str">
        <x:v>无主动效果。</x:v>
      </x:c>
      <x:c r="J152" s="128" t="str">
        <x:v>V4→V5</x:v>
      </x:c>
    </x:row>
    <x:row r="153" ht="30" customHeight="1">
      <x:c r="A153" s="134" t="str">
        <x:v>物品</x:v>
      </x:c>
      <x:c r="B153" s="134" t="str">
        <x:v>P029</x:v>
      </x:c>
      <x:c r="C153" s="134" t="str">
        <x:v>双黄蛋</x:v>
      </x:c>
      <x:c r="D153" s="134" t="str">
        <x:v>保留</x:v>
      </x:c>
      <x:c r="E153" s="134" t="str">
        <x:v>双黄蛋</x:v>
      </x:c>
      <x:c r="F153" s="134" t="str">
        <x:v>—</x:v>
      </x:c>
      <x:c r="G153" s="134" t="str">
        <x:v>蛋的增强版本，在所有蛋条件中仍算一颗蛋。</x:v>
      </x:c>
      <x:c r="H153" s="134" t="str">
        <x:v>在蛋专属条件中视为1颗蛋。</x:v>
      </x:c>
      <x:c r="I153" s="134" t="str">
        <x:v>在蛋专属条件中视为1颗蛋。</x:v>
      </x:c>
      <x:c r="J153" s="134" t="str">
        <x:v>V4→V5</x:v>
      </x:c>
    </x:row>
    <x:row r="154" ht="30" customHeight="1">
      <x:c r="A154" s="128" t="str">
        <x:v>物品</x:v>
      </x:c>
      <x:c r="B154" s="128" t="str">
        <x:v>P030</x:v>
      </x:c>
      <x:c r="C154" s="128" t="str">
        <x:v>废料</x:v>
      </x:c>
      <x:c r="D154" s="128" t="str">
        <x:v>调整</x:v>
      </x:c>
      <x:c r="E154" s="128" t="str">
        <x:v>铁屑</x:v>
      </x:c>
      <x:c r="F154" s="128" t="str">
        <x:v>—</x:v>
      </x:c>
      <x:c r="G154" s="128" t="str">
        <x:v>明确为冶铁边角料；遗物追加产物不再被黄玉追加。</x:v>
      </x:c>
      <x:c r="H154" s="128" t="str">
        <x:v>无额外能力。</x:v>
      </x:c>
      <x:c r="I154" s="128" t="str">
        <x:v>无主动效果。</x:v>
      </x:c>
      <x:c r="J154" s="128" t="str">
        <x:v>V4→V5</x:v>
      </x:c>
    </x:row>
    <x:row r="155" ht="30" customHeight="1">
      <x:c r="A155" s="134" t="str">
        <x:v>物品</x:v>
      </x:c>
      <x:c r="B155" s="134" t="str">
        <x:v>P031</x:v>
      </x:c>
      <x:c r="C155" s="134" t="str">
        <x:v>回声珠</x:v>
      </x:c>
      <x:c r="D155" s="134" t="str">
        <x:v>移除</x:v>
      </x:c>
      <x:c r="E155" s="134" t="str">
        <x:v>退出当前目录</x:v>
      </x:c>
      <x:c r="F155" s="134" t="str">
        <x:v>—</x:v>
      </x:c>
      <x:c r="G155" s="134" t="str">
        <x:v>唯一来源共鸣余音已移除；同步移除无来源的临时回声珠。</x:v>
      </x:c>
      <x:c r="H155" s="134" t="str">
        <x:v>无额外能力。</x:v>
      </x:c>
      <x:c r="I155" s="134" t="str">
        <x:v>从当前总表和奖励池移除；历史ID保留</x:v>
      </x:c>
      <x:c r="J155" s="134" t="str">
        <x:v>V4→V5</x:v>
      </x:c>
    </x:row>
    <x:row r="156" ht="30" customHeight="1">
      <x:c r="A156" s="128" t="str">
        <x:v>物品</x:v>
      </x:c>
      <x:c r="B156" s="128" t="str">
        <x:v>P032</x:v>
      </x:c>
      <x:c r="C156" s="128" t="str">
        <x:v>纪念票</x:v>
      </x:c>
      <x:c r="D156" s="128" t="str">
        <x:v>调整</x:v>
      </x:c>
      <x:c r="E156" s="128" t="str">
        <x:v>纪念票</x:v>
      </x:c>
      <x:c r="F156" s="128" t="str">
        <x:v>—</x:v>
      </x:c>
      <x:c r="G156" s="128" t="str">
        <x:v>集邮册属于遗物追加生成，不能再次触发黄玉；同步删去错误来源。</x:v>
      </x:c>
      <x:c r="H156" s="128" t="str">
        <x:v>无额外能力，可被印章增值、邮筒消耗。</x:v>
      </x:c>
      <x:c r="I156" s="128" t="str">
        <x:v>无主动效果，可被印章增值、邮筒消耗。</x:v>
      </x:c>
      <x:c r="J156" s="128" t="str">
        <x:v>V4→V5</x:v>
      </x:c>
    </x:row>
    <x:row r="157" ht="30" customHeight="1">
      <x:c r="A157" s="134" t="str">
        <x:v>遗物</x:v>
      </x:c>
      <x:c r="B157" s="134" t="str">
        <x:v>R001</x:v>
      </x:c>
      <x:c r="C157" s="134" t="str">
        <x:v>家常菜谱</x:v>
      </x:c>
      <x:c r="D157" s="134" t="str">
        <x:v>保留</x:v>
      </x:c>
      <x:c r="E157" s="134" t="str">
        <x:v>家常菜谱</x:v>
      </x:c>
      <x:c r="F157" s="134" t="str">
        <x:v>—</x:v>
      </x:c>
      <x:c r="G157" s="134" t="str">
        <x:v>奖励保留调味后的食物，与消耗换分形成选择。</x:v>
      </x:c>
      <x:c r="H157" s="134" t="str">
        <x:v>结算时，本回合被烹饪物品增值过的存活食物，各本回合分值+2。</x:v>
      </x:c>
      <x:c r="I157" s="134" t="str">
        <x:v>结算时，本回合被烹饪物品增值过的存活食物，各本回合分值+2。</x:v>
      </x:c>
      <x:c r="J157" s="134" t="str">
        <x:v>V4→V5</x:v>
      </x:c>
    </x:row>
    <x:row r="158" ht="30" customHeight="1">
      <x:c r="A158" s="128" t="str">
        <x:v>遗物</x:v>
      </x:c>
      <x:c r="B158" s="128" t="str">
        <x:v>R002</x:v>
      </x:c>
      <x:c r="C158" s="128" t="str">
        <x:v>双份调味</x:v>
      </x:c>
      <x:c r="D158" s="128" t="str">
        <x:v>保留</x:v>
      </x:c>
      <x:c r="E158" s="128" t="str">
        <x:v>双份调味</x:v>
      </x:c>
      <x:c r="F158" s="128" t="str">
        <x:v>—</x:v>
      </x:c>
      <x:c r="G158" s="128" t="str">
        <x:v>增强原有调味量，不产生新的增值来源事件。</x:v>
      </x:c>
      <x:c r="H158" s="128" t="str">
        <x:v>烹饪物品使食物的本回合分值增加固定数值时，该次增加量+1。</x:v>
      </x:c>
      <x:c r="I158" s="128" t="str">
        <x:v>烹饪物品使食物的本回合分值增加固定数值时，该次增加量+1。</x:v>
      </x:c>
      <x:c r="J158" s="128" t="str">
        <x:v>V4→V5</x:v>
      </x:c>
    </x:row>
    <x:row r="159" ht="30" customHeight="1">
      <x:c r="A159" s="134" t="str">
        <x:v>遗物</x:v>
      </x:c>
      <x:c r="B159" s="134" t="str">
        <x:v>R003</x:v>
      </x:c>
      <x:c r="C159" s="134" t="str">
        <x:v>餐后点心</x:v>
      </x:c>
      <x:c r="D159" s="134" t="str">
        <x:v>保留</x:v>
      </x:c>
      <x:c r="E159" s="134" t="str">
        <x:v>餐后点心</x:v>
      </x:c>
      <x:c r="F159" s="134" t="str">
        <x:v>—</x:v>
      </x:c>
      <x:c r="G159" s="134" t="str">
        <x:v>烹饪消耗生成少量餐后残余，禁止饼干屑递归触发。</x:v>
      </x:c>
      <x:c r="H159" s="134" t="str">
        <x:v>食物被烹饪物品消耗时，生成1份饼干屑。</x:v>
      </x:c>
      <x:c r="I159" s="134" t="str">
        <x:v>食物被烹饪物品消耗时，生成1份饼干屑。</x:v>
      </x:c>
      <x:c r="J159" s="134" t="str">
        <x:v>V4→V5</x:v>
      </x:c>
    </x:row>
    <x:row r="160" ht="30" customHeight="1">
      <x:c r="A160" s="128" t="str">
        <x:v>遗物</x:v>
      </x:c>
      <x:c r="B160" s="128" t="str">
        <x:v>R004</x:v>
      </x:c>
      <x:c r="C160" s="128" t="str">
        <x:v>主厨勋章</x:v>
      </x:c>
      <x:c r="D160" s="128" t="str">
        <x:v>合并</x:v>
      </x:c>
      <x:c r="E160" s="128" t="str">
        <x:v>退出当前目录</x:v>
      </x:c>
      <x:c r="F160" s="128" t="str">
        <x:v>I010 宴会钟</x:v>
      </x:c>
      <x:c r="G160" s="128" t="str">
        <x:v>与宴会钟同为烹饪后餐食倍率，保留瓶中可布置的宴会钟。</x:v>
      </x:c>
      <x:c r="H160" s="128" t="str">
        <x:v>结算时，本回合烹饪物品完成至少2次正常生成时，所有存活餐食结算倍率+50%。</x:v>
      </x:c>
      <x:c r="I160" s="128" t="str">
        <x:v>从当前总表和奖励池移除；历史ID保留</x:v>
      </x:c>
      <x:c r="J160" s="128" t="str">
        <x:v>V4→V5</x:v>
      </x:c>
    </x:row>
    <x:row r="161" ht="30" customHeight="1">
      <x:c r="A161" s="134" t="str">
        <x:v>遗物</x:v>
      </x:c>
      <x:c r="B161" s="134" t="str">
        <x:v>R005</x:v>
      </x:c>
      <x:c r="C161" s="134" t="str">
        <x:v>百味宴席</x:v>
      </x:c>
      <x:c r="D161" s="134" t="str">
        <x:v>合并</x:v>
      </x:c>
      <x:c r="E161" s="134" t="str">
        <x:v>退出当前目录</x:v>
      </x:c>
      <x:c r="F161" s="134" t="str">
        <x:v>I010 宴会钟</x:v>
      </x:c>
      <x:c r="G161" s="134" t="str">
        <x:v>为另一个宴席奖励堆叠跨来源食物计数，烹饪终点收敛为宴会钟。</x:v>
      </x:c>
      <x:c r="H161" s="134" t="str">
        <x:v>结算时，本回合生成过至少3种不同食物时，每个存活烹饪物品本回合分值+8。</x:v>
      </x:c>
      <x:c r="I161" s="134" t="str">
        <x:v>从当前总表和奖励池移除；历史ID保留</x:v>
      </x:c>
      <x:c r="J161" s="134" t="str">
        <x:v>V4→V5</x:v>
      </x:c>
    </x:row>
    <x:row r="162" ht="30" customHeight="1">
      <x:c r="A162" s="128" t="str">
        <x:v>遗物</x:v>
      </x:c>
      <x:c r="B162" s="128" t="str">
        <x:v>R006</x:v>
      </x:c>
      <x:c r="C162" s="128" t="str">
        <x:v>园艺手套</x:v>
      </x:c>
      <x:c r="D162" s="128" t="str">
        <x:v>调整</x:v>
      </x:c>
      <x:c r="E162" s="128" t="str">
        <x:v>园艺手套</x:v>
      </x:c>
      <x:c r="F162" s="128" t="str">
        <x:v>—</x:v>
      </x:c>
      <x:c r="G162" s="128" t="str">
        <x:v>奖励植物实际耗水，避免依赖模糊的水元素增值事件。</x:v>
      </x:c>
      <x:c r="H162" s="128" t="str">
        <x:v>植物通过接触或消耗水元素增加自身本回合分值时，该次增加量+1。</x:v>
      </x:c>
      <x:c r="I162" s="128" t="str">
        <x:v>植物消耗水珠时，该植物本回合分值+2。</x:v>
      </x:c>
      <x:c r="J162" s="128" t="str">
        <x:v>V4→V5</x:v>
      </x:c>
    </x:row>
    <x:row r="163" ht="30" customHeight="1">
      <x:c r="A163" s="134" t="str">
        <x:v>遗物</x:v>
      </x:c>
      <x:c r="B163" s="134" t="str">
        <x:v>R007</x:v>
      </x:c>
      <x:c r="C163" s="134" t="str">
        <x:v>授粉手册</x:v>
      </x:c>
      <x:c r="D163" s="134" t="str">
        <x:v>调整</x:v>
      </x:c>
      <x:c r="E163" s="134" t="str">
        <x:v>授粉手册</x:v>
      </x:c>
      <x:c r="F163" s="134" t="str">
        <x:v>—</x:v>
      </x:c>
      <x:c r="G163" s="134" t="str">
        <x:v>授粉只针对开花植物，花粉不会再次作为植物触发授粉。</x:v>
      </x:c>
      <x:c r="H163" s="134" t="str">
        <x:v>蜜蜂或彩翼蝶成功增值植物时，临时，生成1份花粉。</x:v>
      </x:c>
      <x:c r="I163" s="134" t="str">
        <x:v>蜜蜂或彩翼蝶成功增值开花植物时，临时生成1份花粉。</x:v>
      </x:c>
      <x:c r="J163" s="134" t="str">
        <x:v>V4→V5</x:v>
      </x:c>
    </x:row>
    <x:row r="164" ht="30" customHeight="1">
      <x:c r="A164" s="128" t="str">
        <x:v>遗物</x:v>
      </x:c>
      <x:c r="B164" s="128" t="str">
        <x:v>R008</x:v>
      </x:c>
      <x:c r="C164" s="128" t="str">
        <x:v>雨水桶</x:v>
      </x:c>
      <x:c r="D164" s="128" t="str">
        <x:v>保留</x:v>
      </x:c>
      <x:c r="E164" s="128" t="str">
        <x:v>雨水桶</x:v>
      </x:c>
      <x:c r="F164" s="128" t="str">
        <x:v>—</x:v>
      </x:c>
      <x:c r="G164" s="128" t="str">
        <x:v>有限追加液态水，支援会永久耗水的配方。</x:v>
      </x:c>
      <x:c r="H164" s="128" t="str">
        <x:v>本回合第一次正常生成水珠时，追加生成1颗水珠。</x:v>
      </x:c>
      <x:c r="I164" s="128" t="str">
        <x:v>本回合第一次正常生成水珠时，追加生成1颗水珠。</x:v>
      </x:c>
      <x:c r="J164" s="128" t="str">
        <x:v>V4→V5</x:v>
      </x:c>
    </x:row>
    <x:row r="165" ht="30" customHeight="1">
      <x:c r="A165" s="134" t="str">
        <x:v>遗物</x:v>
      </x:c>
      <x:c r="B165" s="134" t="str">
        <x:v>R009</x:v>
      </x:c>
      <x:c r="C165" s="134" t="str">
        <x:v>连根相生</x:v>
      </x:c>
      <x:c r="D165" s="134" t="str">
        <x:v>保留</x:v>
      </x:c>
      <x:c r="E165" s="134" t="str">
        <x:v>连根相生</x:v>
      </x:c>
      <x:c r="F165" s="134" t="str">
        <x:v>—</x:v>
      </x:c>
      <x:c r="G165" s="134" t="str">
        <x:v>鼓励活植物连通布局，果实与花粉不再充数。</x:v>
      </x:c>
      <x:c r="H165" s="134" t="str">
        <x:v>结算时，植物接触组含至少4件时，该组植物各本回合分值+4。</x:v>
      </x:c>
      <x:c r="I165" s="134" t="str">
        <x:v>结算时，植物接触组含至少4件时，该组植物各本回合分值+4。</x:v>
      </x:c>
      <x:c r="J165" s="134" t="str">
        <x:v>V4→V5</x:v>
      </x:c>
    </x:row>
    <x:row r="166" ht="38" customHeight="1">
      <x:c r="A166" s="128" t="str">
        <x:v>遗物</x:v>
      </x:c>
      <x:c r="B166" s="128" t="str">
        <x:v>R010</x:v>
      </x:c>
      <x:c r="C166" s="128" t="str">
        <x:v>丰收日历</x:v>
      </x:c>
      <x:c r="D166" s="128" t="str">
        <x:v>保留</x:v>
      </x:c>
      <x:c r="E166" s="128" t="str">
        <x:v>丰收日历</x:v>
      </x:c>
      <x:c r="F166" s="128" t="str">
        <x:v>—</x:v>
      </x:c>
      <x:c r="G166" s="128" t="str">
        <x:v>多种活植物支持定向长期培养，有逐实例累计上限。</x:v>
      </x:c>
      <x:c r="H166" s="128" t="str">
        <x:v>结算结束时，瓶中至少有3种不同植物时，其中基础分最低的1件成长植物永久基础分+1。</x:v>
      </x:c>
      <x:c r="I166" s="128" t="str">
        <x:v>结算结束时，瓶中至少有3种不同植物时，其中基础分最低的1件成长植物永久基础分+1。</x:v>
      </x:c>
      <x:c r="J166" s="128" t="str">
        <x:v>V4→V5</x:v>
      </x:c>
    </x:row>
    <x:row r="167" ht="38" customHeight="1">
      <x:c r="A167" s="134" t="str">
        <x:v>遗物</x:v>
      </x:c>
      <x:c r="B167" s="134" t="str">
        <x:v>R011</x:v>
      </x:c>
      <x:c r="C167" s="134" t="str">
        <x:v>加厚草垫</x:v>
      </x:c>
      <x:c r="D167" s="134" t="str">
        <x:v>调整</x:v>
      </x:c>
      <x:c r="E167" s="134" t="str">
        <x:v>加厚草垫</x:v>
      </x:c>
      <x:c r="F167" s="134" t="str">
        <x:v>—</x:v>
      </x:c>
      <x:c r="G167" s="134" t="str">
        <x:v>草垫服务家禽家畜，不为蜜蜂、蝴蝶或招财摆件提供畜栏奖励。</x:v>
      </x:c>
      <x:c r="H167" s="134" t="str">
        <x:v>结算时，与其他动物接触的动物各本回合分值+2。</x:v>
      </x:c>
      <x:c r="I167" s="134" t="str">
        <x:v>结算时，母鸡、奶牛、绵羊与雏鸟若与这四种动物中的其他实例接触，其本回合分值+2。</x:v>
      </x:c>
      <x:c r="J167" s="134" t="str">
        <x:v>V4→V5</x:v>
      </x:c>
    </x:row>
    <x:row r="168" ht="30" customHeight="1">
      <x:c r="A168" s="128" t="str">
        <x:v>遗物</x:v>
      </x:c>
      <x:c r="B168" s="128" t="str">
        <x:v>R012</x:v>
      </x:c>
      <x:c r="C168" s="128" t="str">
        <x:v>双黄蛋谱</x:v>
      </x:c>
      <x:c r="D168" s="128" t="str">
        <x:v>保留</x:v>
      </x:c>
      <x:c r="E168" s="128" t="str">
        <x:v>双黄蛋谱</x:v>
      </x:c>
      <x:c r="F168" s="128" t="str">
        <x:v>—</x:v>
      </x:c>
      <x:c r="G168" s="128" t="str">
        <x:v>替换第一颗蛋而非额外加蛋，不增加生产事件数。</x:v>
      </x:c>
      <x:c r="H168" s="128" t="str">
        <x:v>每回合第一颗正常生成的蛋改为双黄蛋。</x:v>
      </x:c>
      <x:c r="I168" s="128" t="str">
        <x:v>每回合第一颗正常生成的蛋改为双黄蛋。</x:v>
      </x:c>
      <x:c r="J168" s="128" t="str">
        <x:v>V4→V5</x:v>
      </x:c>
    </x:row>
    <x:row r="169" ht="38" customHeight="1">
      <x:c r="A169" s="134" t="str">
        <x:v>遗物</x:v>
      </x:c>
      <x:c r="B169" s="134" t="str">
        <x:v>R013</x:v>
      </x:c>
      <x:c r="C169" s="134" t="str">
        <x:v>牧场铃铛</x:v>
      </x:c>
      <x:c r="D169" s="134" t="str">
        <x:v>调整</x:v>
      </x:c>
      <x:c r="E169" s="134" t="str">
        <x:v>牧场铃铛</x:v>
      </x:c>
      <x:c r="F169" s="134" t="str">
        <x:v>—</x:v>
      </x:c>
      <x:c r="G169" s="134" t="str">
        <x:v>牧场铃铛只奖励家禽家畜的产出与邻接，不跨到蜜蜂产蜜。</x:v>
      </x:c>
      <x:c r="H169" s="134" t="str">
        <x:v>动物正常生成后，其当前接触的其他动物各本回合分值+1。</x:v>
      </x:c>
      <x:c r="I169" s="134" t="str">
        <x:v>母鸡、奶牛或绵羊正常生成后，其当前接触的其他母鸡、奶牛、绵羊与雏鸟各本回合分值+1。</x:v>
      </x:c>
      <x:c r="J169" s="134" t="str">
        <x:v>V4→V5</x:v>
      </x:c>
    </x:row>
    <x:row r="170" ht="30" customHeight="1">
      <x:c r="A170" s="128" t="str">
        <x:v>遗物</x:v>
      </x:c>
      <x:c r="B170" s="128" t="str">
        <x:v>R014</x:v>
      </x:c>
      <x:c r="C170" s="128" t="str">
        <x:v>营养饲料</x:v>
      </x:c>
      <x:c r="D170" s="128" t="str">
        <x:v>调整</x:v>
      </x:c>
      <x:c r="E170" s="128" t="str">
        <x:v>营养饲料</x:v>
      </x:c>
      <x:c r="F170" s="128" t="str">
        <x:v>—</x:v>
      </x:c>
      <x:c r="G170" s="128" t="str">
        <x:v>饲料只对母鸡、奶牛的实际进食触发。</x:v>
      </x:c>
      <x:c r="H170" s="128" t="str">
        <x:v>动物消耗谷物时，该动物本回合分值额外+4。</x:v>
      </x:c>
      <x:c r="I170" s="128" t="str">
        <x:v>母鸡或奶牛消耗谷物时，该动物本回合分值+4。</x:v>
      </x:c>
      <x:c r="J170" s="128" t="str">
        <x:v>V4→V5</x:v>
      </x:c>
    </x:row>
    <x:row r="171" ht="30" customHeight="1">
      <x:c r="A171" s="134" t="str">
        <x:v>遗物</x:v>
      </x:c>
      <x:c r="B171" s="134" t="str">
        <x:v>R015</x:v>
      </x:c>
      <x:c r="C171" s="134" t="str">
        <x:v>珍禽图册</x:v>
      </x:c>
      <x:c r="D171" s="134" t="str">
        <x:v>调整</x:v>
      </x:c>
      <x:c r="E171" s="134" t="str">
        <x:v>动物图鉴</x:v>
      </x:c>
      <x:c r="F171" s="134" t="str">
        <x:v>—</x:v>
      </x:c>
      <x:c r="G171" s="134" t="str">
        <x:v>统计对象包含哺乳动物和昆虫，改名动物图鉴，与条件保持一致。</x:v>
      </x:c>
      <x:c r="H171" s="134" t="str">
        <x:v>结算时，瓶中至少有4种不同动物时，冻结分值最高的3件动物结算倍率+50%。</x:v>
      </x:c>
      <x:c r="I171" s="134" t="str">
        <x:v>结算时，瓶中至少有4种不同动物时，冻结分值最高的3件动物结算倍率+50%。</x:v>
      </x:c>
      <x:c r="J171" s="134" t="str">
        <x:v>V4→V5</x:v>
      </x:c>
    </x:row>
    <x:row r="172" ht="30" customHeight="1">
      <x:c r="A172" s="128" t="str">
        <x:v>遗物</x:v>
      </x:c>
      <x:c r="B172" s="128" t="str">
        <x:v>R016</x:v>
      </x:c>
      <x:c r="C172" s="128" t="str">
        <x:v>矿工手套</x:v>
      </x:c>
      <x:c r="D172" s="128" t="str">
        <x:v>调整</x:v>
      </x:c>
      <x:c r="E172" s="128" t="str">
        <x:v>矿工手套</x:v>
      </x:c>
      <x:c r="F172" s="128" t="str">
        <x:v>—</x:v>
      </x:c>
      <x:c r="G172" s="128" t="str">
        <x:v>移除任意工具增值矿石的依赖，直接强化采矿产量的基础价值。</x:v>
      </x:c>
      <x:c r="H172" s="128" t="str">
        <x:v>结算时，本回合被工具增值过且存活的矿石，各本回合分值+2。</x:v>
      </x:c>
      <x:c r="I172" s="128" t="str">
        <x:v>矿工镐生成的矿砂，基础分由1改为2。</x:v>
      </x:c>
      <x:c r="J172" s="128" t="str">
        <x:v>V4→V5</x:v>
      </x:c>
    </x:row>
    <x:row r="173" ht="30" customHeight="1">
      <x:c r="A173" s="134" t="str">
        <x:v>遗物</x:v>
      </x:c>
      <x:c r="B173" s="134" t="str">
        <x:v>R017</x:v>
      </x:c>
      <x:c r="C173" s="134" t="str">
        <x:v>边角料箱</x:v>
      </x:c>
      <x:c r="D173" s="134" t="str">
        <x:v>调整</x:v>
      </x:c>
      <x:c r="E173" s="134" t="str">
        <x:v>边角料箱</x:v>
      </x:c>
      <x:c r="F173" s="134" t="str">
        <x:v>—</x:v>
      </x:c>
      <x:c r="G173" s="134" t="str">
        <x:v>只有铁矿冶炼留下铁屑，不让原矿、宝石加工凭空产铁。</x:v>
      </x:c>
      <x:c r="H173" s="134" t="str">
        <x:v>矿业工具消耗矿石时，生成1件废料。</x:v>
      </x:c>
      <x:c r="I173" s="134" t="str">
        <x:v>熔炉消耗铁矿块时，生成1份铁屑。</x:v>
      </x:c>
      <x:c r="J173" s="134" t="str">
        <x:v>V4→V5</x:v>
      </x:c>
    </x:row>
    <x:row r="174" ht="30" customHeight="1">
      <x:c r="A174" s="128" t="str">
        <x:v>遗物</x:v>
      </x:c>
      <x:c r="B174" s="128" t="str">
        <x:v>R018</x:v>
      </x:c>
      <x:c r="C174" s="128" t="str">
        <x:v>筛矿网</x:v>
      </x:c>
      <x:c r="D174" s="128" t="str">
        <x:v>调整</x:v>
      </x:c>
      <x:c r="E174" s="128" t="str">
        <x:v>筛矿网</x:v>
      </x:c>
      <x:c r="F174" s="128" t="str">
        <x:v>—</x:v>
      </x:c>
      <x:c r="G174" s="128" t="str">
        <x:v>取消强制失去金砂的伪强化；筛网直接奖励实际筛矿。</x:v>
      </x:c>
      <x:c r="H174" s="128" t="str">
        <x:v>碎石机必定生成晶屑，不再随机生成金砂。</x:v>
      </x:c>
      <x:c r="I174" s="128" t="str">
        <x:v>筛矿机消耗矿砂时，直接计分3。</x:v>
      </x:c>
      <x:c r="J174" s="128" t="str">
        <x:v>V4→V5</x:v>
      </x:c>
    </x:row>
    <x:row r="175" ht="30" customHeight="1">
      <x:c r="A175" s="134" t="str">
        <x:v>遗物</x:v>
      </x:c>
      <x:c r="B175" s="134" t="str">
        <x:v>R019</x:v>
      </x:c>
      <x:c r="C175" s="134" t="str">
        <x:v>精炼工艺</x:v>
      </x:c>
      <x:c r="D175" s="134" t="str">
        <x:v>保留</x:v>
      </x:c>
      <x:c r="E175" s="134" t="str">
        <x:v>精炼工艺</x:v>
      </x:c>
      <x:c r="F175" s="134" t="str">
        <x:v>—</x:v>
      </x:c>
      <x:c r="G175" s="134" t="str">
        <x:v>改善冶炼产物的长期初始价值，不追溯已有铁锭。</x:v>
      </x:c>
      <x:c r="H175" s="134" t="str">
        <x:v>熔炉生成的金属锭基础分由10改为12。</x:v>
      </x:c>
      <x:c r="I175" s="134" t="str">
        <x:v>熔炉生成的铁锭基础分由10改为12。</x:v>
      </x:c>
      <x:c r="J175" s="134" t="str">
        <x:v>V4→V5</x:v>
      </x:c>
    </x:row>
    <x:row r="176" ht="30" customHeight="1">
      <x:c r="A176" s="128" t="str">
        <x:v>遗物</x:v>
      </x:c>
      <x:c r="B176" s="128" t="str">
        <x:v>R020</x:v>
      </x:c>
      <x:c r="C176" s="128" t="str">
        <x:v>矿脉契约</x:v>
      </x:c>
      <x:c r="D176" s="128" t="str">
        <x:v>保留</x:v>
      </x:c>
      <x:c r="E176" s="128" t="str">
        <x:v>矿脉契约</x:v>
      </x:c>
      <x:c r="F176" s="128" t="str">
        <x:v>—</x:v>
      </x:c>
      <x:c r="G176" s="128" t="str">
        <x:v>矿石消耗换宝石与金属结算倍率，支持加工整条链。</x:v>
      </x:c>
      <x:c r="H176" s="128" t="str">
        <x:v>结算时，本回合消耗过至少3件矿石时，所有存活宝石和金属结算倍率+50%。</x:v>
      </x:c>
      <x:c r="I176" s="128" t="str">
        <x:v>结算时，本回合消耗过至少3件矿石时，所有存活宝石和金属结算倍率+50%。</x:v>
      </x:c>
      <x:c r="J176" s="128" t="str">
        <x:v>V4→V5</x:v>
      </x:c>
    </x:row>
    <x:row r="177" ht="30" customHeight="1">
      <x:c r="A177" s="134" t="str">
        <x:v>遗物</x:v>
      </x:c>
      <x:c r="B177" s="134" t="str">
        <x:v>R021</x:v>
      </x:c>
      <x:c r="C177" s="134" t="str">
        <x:v>耐火手套</x:v>
      </x:c>
      <x:c r="D177" s="134" t="str">
        <x:v>移除</x:v>
      </x:c>
      <x:c r="E177" s="134" t="str">
        <x:v>退出当前目录</x:v>
      </x:c>
      <x:c r="F177" s="134" t="str">
        <x:v>—</x:v>
      </x:c>
      <x:c r="G177" s="134" t="str">
        <x:v>火种取消对任意物品加分后失去合理依赖；删除对应增强遗物。</x:v>
      </x:c>
      <x:c r="H177" s="134" t="str">
        <x:v>火元素使非元素物品的本回合分值增加固定数值时，该次增加量+1。</x:v>
      </x:c>
      <x:c r="I177" s="134" t="str">
        <x:v>从当前总表和奖励池移除；历史ID保留</x:v>
      </x:c>
      <x:c r="J177" s="134" t="str">
        <x:v>V4→V5</x:v>
      </x:c>
    </x:row>
    <x:row r="178" ht="30" customHeight="1">
      <x:c r="A178" s="128" t="str">
        <x:v>遗物</x:v>
      </x:c>
      <x:c r="B178" s="128" t="str">
        <x:v>R022</x:v>
      </x:c>
      <x:c r="C178" s="128" t="str">
        <x:v>冷凝管</x:v>
      </x:c>
      <x:c r="D178" s="128" t="str">
        <x:v>保留</x:v>
      </x:c>
      <x:c r="E178" s="128" t="str">
        <x:v>冷凝管</x:v>
      </x:c>
      <x:c r="F178" s="128" t="str">
        <x:v>—</x:v>
      </x:c>
      <x:c r="G178" s="128" t="str">
        <x:v>锅炉首份蒸汽冷凝补水，有限补偿永久耗水成本。</x:v>
      </x:c>
      <x:c r="H178" s="128" t="str">
        <x:v>本回合第一次正常生成蒸汽时，追加生成1颗水珠。</x:v>
      </x:c>
      <x:c r="I178" s="128" t="str">
        <x:v>本回合第一次正常生成蒸汽时，追加生成1颗水珠。</x:v>
      </x:c>
      <x:c r="J178" s="128" t="str">
        <x:v>V4→V5</x:v>
      </x:c>
    </x:row>
    <x:row r="179" ht="30" customHeight="1">
      <x:c r="A179" s="134" t="str">
        <x:v>遗物</x:v>
      </x:c>
      <x:c r="B179" s="134" t="str">
        <x:v>R023</x:v>
      </x:c>
      <x:c r="C179" s="134" t="str">
        <x:v>双芯烛台</x:v>
      </x:c>
      <x:c r="D179" s="134" t="str">
        <x:v>保留</x:v>
      </x:c>
      <x:c r="E179" s="134" t="str">
        <x:v>双芯烛台</x:v>
      </x:c>
      <x:c r="F179" s="134" t="str">
        <x:v>—</x:v>
      </x:c>
      <x:c r="G179" s="134" t="str">
        <x:v>给成功点亮的存活蜡烛固定回报，不复制照明倍率。</x:v>
      </x:c>
      <x:c r="H179" s="134" t="str">
        <x:v>结算结束时，每有1根存活且点亮的蜡烛，直接计分4。</x:v>
      </x:c>
      <x:c r="I179" s="134" t="str">
        <x:v>结算结束时，每有1根存活且点亮的蜡烛，直接计分4。</x:v>
      </x:c>
      <x:c r="J179" s="134" t="str">
        <x:v>V4→V5</x:v>
      </x:c>
    </x:row>
    <x:row r="180" ht="30" customHeight="1">
      <x:c r="A180" s="128" t="str">
        <x:v>遗物</x:v>
      </x:c>
      <x:c r="B180" s="128" t="str">
        <x:v>R024</x:v>
      </x:c>
      <x:c r="C180" s="128" t="str">
        <x:v>水火交融</x:v>
      </x:c>
      <x:c r="D180" s="128" t="str">
        <x:v>合并</x:v>
      </x:c>
      <x:c r="E180" s="128" t="str">
        <x:v>退出当前目录</x:v>
      </x:c>
      <x:c r="F180" s="128" t="str">
        <x:v>I050 蒸汽锅炉</x:v>
      </x:c>
      <x:c r="G180" s="128" t="str">
        <x:v>有火有水本就是锅炉配方，不再用同一条件另设一层加分。</x:v>
      </x:c>
      <x:c r="H180" s="128" t="str">
        <x:v>结算时，瓶中同时有水元素和火元素时，所有换热器与蒸汽锅炉本回合分值+6。</x:v>
      </x:c>
      <x:c r="I180" s="128" t="str">
        <x:v>从当前总表和奖励池移除；历史ID保留</x:v>
      </x:c>
      <x:c r="J180" s="128" t="str">
        <x:v>V4→V5</x:v>
      </x:c>
    </x:row>
    <x:row r="181" ht="38" customHeight="1">
      <x:c r="A181" s="134" t="str">
        <x:v>遗物</x:v>
      </x:c>
      <x:c r="B181" s="134" t="str">
        <x:v>R025</x:v>
      </x:c>
      <x:c r="C181" s="134" t="str">
        <x:v>烟火庆典</x:v>
      </x:c>
      <x:c r="D181" s="134" t="str">
        <x:v>调整</x:v>
      </x:c>
      <x:c r="E181" s="134" t="str">
        <x:v>烟火庆典</x:v>
      </x:c>
      <x:c r="F181" s="134" t="str">
        <x:v>—</x:v>
      </x:c>
      <x:c r="G181" s="134" t="str">
        <x:v>简化为明确的礼花结算奖励，去掉跨三种元素产物的隐蔽门槛。</x:v>
      </x:c>
      <x:c r="H181" s="134" t="str">
        <x:v>结算时，本回合生成过至少3种不同元素产物时，所有存活火元素和水元素结算倍率+50%。</x:v>
      </x:c>
      <x:c r="I181" s="134" t="str">
        <x:v>结算时，所有存活礼花结算倍率+100%。</x:v>
      </x:c>
      <x:c r="J181" s="134" t="str">
        <x:v>V4→V5</x:v>
      </x:c>
    </x:row>
    <x:row r="182" ht="30" customHeight="1">
      <x:c r="A182" s="128" t="str">
        <x:v>遗物</x:v>
      </x:c>
      <x:c r="B182" s="128" t="str">
        <x:v>R026</x:v>
      </x:c>
      <x:c r="C182" s="128" t="str">
        <x:v>收据夹</x:v>
      </x:c>
      <x:c r="D182" s="128" t="str">
        <x:v>调整</x:v>
      </x:c>
      <x:c r="E182" s="128" t="str">
        <x:v>收据夹</x:v>
      </x:c>
      <x:c r="F182" s="128" t="str">
        <x:v>—</x:v>
      </x:c>
      <x:c r="G182" s="128" t="str">
        <x:v>交易奖励跟随唯一出售入口拍卖槌，不保留收银机的失效引用。</x:v>
      </x:c>
      <x:c r="H182" s="128" t="str">
        <x:v>收银机成功直接计分时，直接计分2。</x:v>
      </x:c>
      <x:c r="I182" s="128" t="str">
        <x:v>拍卖槌成功消耗商品时，直接计分3。</x:v>
      </x:c>
      <x:c r="J182" s="128" t="str">
        <x:v>V4→V5</x:v>
      </x:c>
    </x:row>
    <x:row r="183" ht="30" customHeight="1">
      <x:c r="A183" s="134" t="str">
        <x:v>遗物</x:v>
      </x:c>
      <x:c r="B183" s="134" t="str">
        <x:v>R027</x:v>
      </x:c>
      <x:c r="C183" s="134" t="str">
        <x:v>分类货签</x:v>
      </x:c>
      <x:c r="D183" s="134" t="str">
        <x:v>保留</x:v>
      </x:c>
      <x:c r="E183" s="134" t="str">
        <x:v>分类货签</x:v>
      </x:c>
      <x:c r="F183" s="134" t="str">
        <x:v>—</x:v>
      </x:c>
      <x:c r="G183" s="134" t="str">
        <x:v>商品种类支援集市队伍，和货架实际邻接展示不同。</x:v>
      </x:c>
      <x:c r="H183" s="134" t="str">
        <x:v>结算时，瓶中商品每有1种不同名称，所有存活集市物品本回合分值+1。</x:v>
      </x:c>
      <x:c r="I183" s="134" t="str">
        <x:v>结算时，瓶中商品每有1种不同名称，所有存活集市物品本回合分值+1。</x:v>
      </x:c>
      <x:c r="J183" s="134" t="str">
        <x:v>V4→V5</x:v>
      </x:c>
    </x:row>
    <x:row r="184" ht="38" customHeight="1">
      <x:c r="A184" s="128" t="str">
        <x:v>遗物</x:v>
      </x:c>
      <x:c r="B184" s="128" t="str">
        <x:v>R028</x:v>
      </x:c>
      <x:c r="C184" s="128" t="str">
        <x:v>满架奖励</x:v>
      </x:c>
      <x:c r="D184" s="128" t="str">
        <x:v>合并</x:v>
      </x:c>
      <x:c r="E184" s="128" t="str">
        <x:v>退出当前目录</x:v>
      </x:c>
      <x:c r="F184" s="128" t="str">
        <x:v>I058 货架</x:v>
      </x:c>
      <x:c r="G184" s="128" t="str">
        <x:v>重复货架自带的三类商品奖励，同时删除了宝石展台。</x:v>
      </x:c>
      <x:c r="H184" s="128" t="str">
        <x:v>结算时，货架接触至少3件商品，或宝石展台接触至少3件宝石时，该货架或展台本回合分值+6。</x:v>
      </x:c>
      <x:c r="I184" s="128" t="str">
        <x:v>从当前总表和奖励池移除；历史ID保留</x:v>
      </x:c>
      <x:c r="J184" s="128" t="str">
        <x:v>V4→V5</x:v>
      </x:c>
    </x:row>
    <x:row r="185" ht="30" customHeight="1">
      <x:c r="A185" s="134" t="str">
        <x:v>遗物</x:v>
      </x:c>
      <x:c r="B185" s="134" t="str">
        <x:v>R029</x:v>
      </x:c>
      <x:c r="C185" s="134" t="str">
        <x:v>精打细算</x:v>
      </x:c>
      <x:c r="D185" s="134" t="str">
        <x:v>合并</x:v>
      </x:c>
      <x:c r="E185" s="134" t="str">
        <x:v>退出当前目录</x:v>
      </x:c>
      <x:c r="F185" s="134" t="str">
        <x:v>I057 金算盘</x:v>
      </x:c>
      <x:c r="G185" s="134" t="str">
        <x:v>仅将金算盘的成长数值翻倍，并引入末尾成长阶段；保留算盘自身成长。</x:v>
      </x:c>
      <x:c r="H185" s="134" t="str">
        <x:v>结算结束时，若金算盘已成功触发自身永久成长，该金算盘永久基础分+1。</x:v>
      </x:c>
      <x:c r="I185" s="134" t="str">
        <x:v>从当前总表和奖励池移除；历史ID保留</x:v>
      </x:c>
      <x:c r="J185" s="134" t="str">
        <x:v>V4→V5</x:v>
      </x:c>
    </x:row>
    <x:row r="186" ht="30" customHeight="1">
      <x:c r="A186" s="128" t="str">
        <x:v>遗物</x:v>
      </x:c>
      <x:c r="B186" s="128" t="str">
        <x:v>R030</x:v>
      </x:c>
      <x:c r="C186" s="128" t="str">
        <x:v>市集招牌</x:v>
      </x:c>
      <x:c r="D186" s="128" t="str">
        <x:v>保留</x:v>
      </x:c>
      <x:c r="E186" s="128" t="str">
        <x:v>市集招牌</x:v>
      </x:c>
      <x:c r="F186" s="128" t="str">
        <x:v>—</x:v>
      </x:c>
      <x:c r="G186" s="128" t="str">
        <x:v>出售高价物后支援市场，需牺牲商品才能达成。</x:v>
      </x:c>
      <x:c r="H186" s="128" t="str">
        <x:v>结算时，本回合拍卖槌消耗过商品时，所有存活集市物品结算倍率+50%。</x:v>
      </x:c>
      <x:c r="I186" s="128" t="str">
        <x:v>结算时，本回合拍卖槌消耗过商品时，所有存活集市物品结算倍率+50%。</x:v>
      </x:c>
      <x:c r="J186" s="128" t="str">
        <x:v>V4→V5</x:v>
      </x:c>
    </x:row>
    <x:row r="187" ht="30" customHeight="1">
      <x:c r="A187" s="134" t="str">
        <x:v>遗物</x:v>
      </x:c>
      <x:c r="B187" s="134" t="str">
        <x:v>R031</x:v>
      </x:c>
      <x:c r="C187" s="134" t="str">
        <x:v>备用电芯</x:v>
      </x:c>
      <x:c r="D187" s="134" t="str">
        <x:v>保留</x:v>
      </x:c>
      <x:c r="E187" s="134" t="str">
        <x:v>备用电芯</x:v>
      </x:c>
      <x:c r="F187" s="134" t="str">
        <x:v>—</x:v>
      </x:c>
      <x:c r="G187" s="134" t="str">
        <x:v>增加初始电量预算，不抬高单回合技能次数。</x:v>
      </x:c>
      <x:c r="H187" s="134" t="str">
        <x:v>回合开始时，初始抽取的充能物品各充能+1。</x:v>
      </x:c>
      <x:c r="I187" s="134" t="str">
        <x:v>回合开始时，初始抽取的充能物品各充能+1。</x:v>
      </x:c>
      <x:c r="J187" s="134" t="str">
        <x:v>V4→V5</x:v>
      </x:c>
    </x:row>
    <x:row r="188" ht="30" customHeight="1">
      <x:c r="A188" s="128" t="str">
        <x:v>遗物</x:v>
      </x:c>
      <x:c r="B188" s="128" t="str">
        <x:v>R032</x:v>
      </x:c>
      <x:c r="C188" s="128" t="str">
        <x:v>能量回执</x:v>
      </x:c>
      <x:c r="D188" s="128" t="str">
        <x:v>保留</x:v>
      </x:c>
      <x:c r="E188" s="128" t="str">
        <x:v>能量回执</x:v>
      </x:c>
      <x:c r="F188" s="128" t="str">
        <x:v>—</x:v>
      </x:c>
      <x:c r="G188" s="128" t="str">
        <x:v>奖励实际耗能，和并联线圈留能收益形成取舍。</x:v>
      </x:c>
      <x:c r="H188" s="128" t="str">
        <x:v>每实际花费1充能，直接计分1。</x:v>
      </x:c>
      <x:c r="I188" s="128" t="str">
        <x:v>每实际花费1充能，直接计分1。</x:v>
      </x:c>
      <x:c r="J188" s="128" t="str">
        <x:v>V4→V5</x:v>
      </x:c>
    </x:row>
    <x:row r="189" ht="30" customHeight="1">
      <x:c r="A189" s="134" t="str">
        <x:v>遗物</x:v>
      </x:c>
      <x:c r="B189" s="134" t="str">
        <x:v>R033</x:v>
      </x:c>
      <x:c r="C189" s="134" t="str">
        <x:v>节能齿轮</x:v>
      </x:c>
      <x:c r="D189" s="134" t="str">
        <x:v>保留</x:v>
      </x:c>
      <x:c r="E189" s="134" t="str">
        <x:v>节能齿轮</x:v>
      </x:c>
      <x:c r="F189" s="134" t="str">
        <x:v>—</x:v>
      </x:c>
      <x:c r="G189" s="134" t="str">
        <x:v>每件首个充能消耗返充一次，不刷新触发预算。</x:v>
      </x:c>
      <x:c r="H189" s="134" t="str">
        <x:v>每件充能物品本回合首次花费充能后，该物品充能+1。</x:v>
      </x:c>
      <x:c r="I189" s="134" t="str">
        <x:v>每件充能物品本回合首次花费充能后，该物品充能+1。</x:v>
      </x:c>
      <x:c r="J189" s="134" t="str">
        <x:v>V4→V5</x:v>
      </x:c>
    </x:row>
    <x:row r="190" ht="30" customHeight="1">
      <x:c r="A190" s="128" t="str">
        <x:v>遗物</x:v>
      </x:c>
      <x:c r="B190" s="128" t="str">
        <x:v>R034</x:v>
      </x:c>
      <x:c r="C190" s="128" t="str">
        <x:v>并联线圈</x:v>
      </x:c>
      <x:c r="D190" s="128" t="str">
        <x:v>保留</x:v>
      </x:c>
      <x:c r="E190" s="128" t="str">
        <x:v>并联线圈</x:v>
      </x:c>
      <x:c r="F190" s="128" t="str">
        <x:v>—</x:v>
      </x:c>
      <x:c r="G190" s="128" t="str">
        <x:v>鼓励留存充能，区别于耗能爆发。</x:v>
      </x:c>
      <x:c r="H190" s="128" t="str">
        <x:v>结算时，每件充能物品每剩余1充能，该物品本回合分值+2。</x:v>
      </x:c>
      <x:c r="I190" s="128" t="str">
        <x:v>结算时，每件充能物品每剩余1充能，该物品本回合分值+2。</x:v>
      </x:c>
      <x:c r="J190" s="128" t="str">
        <x:v>V4→V5</x:v>
      </x:c>
    </x:row>
    <x:row r="191" ht="30" customHeight="1">
      <x:c r="A191" s="134" t="str">
        <x:v>遗物</x:v>
      </x:c>
      <x:c r="B191" s="134" t="str">
        <x:v>R035</x:v>
      </x:c>
      <x:c r="C191" s="134" t="str">
        <x:v>过载许可证</x:v>
      </x:c>
      <x:c r="D191" s="134" t="str">
        <x:v>保留</x:v>
      </x:c>
      <x:c r="E191" s="134" t="str">
        <x:v>过载许可证</x:v>
      </x:c>
      <x:c r="F191" s="134" t="str">
        <x:v>—</x:v>
      </x:c>
      <x:c r="G191" s="134" t="str">
        <x:v>要求额外补能后达成高耗能，支持重度使用而非闲置。</x:v>
      </x:c>
      <x:c r="H191" s="134" t="str">
        <x:v>结算时，本回合实际累计花费至少3充能的物品，各本回合分值+10。</x:v>
      </x:c>
      <x:c r="I191" s="134" t="str">
        <x:v>结算时，本回合实际累计花费至少3充能的物品，各本回合分值+10。</x:v>
      </x:c>
      <x:c r="J191" s="134" t="str">
        <x:v>V4→V5</x:v>
      </x:c>
    </x:row>
    <x:row r="192" ht="30" customHeight="1">
      <x:c r="A192" s="128" t="str">
        <x:v>遗物</x:v>
      </x:c>
      <x:c r="B192" s="128" t="str">
        <x:v>R036</x:v>
      </x:c>
      <x:c r="C192" s="128" t="str">
        <x:v>悼念花束</x:v>
      </x:c>
      <x:c r="D192" s="128" t="str">
        <x:v>保留</x:v>
      </x:c>
      <x:c r="E192" s="128" t="str">
        <x:v>悼念花束</x:v>
      </x:c>
      <x:c r="F192" s="128" t="str">
        <x:v>—</x:v>
      </x:c>
      <x:c r="G192" s="128" t="str">
        <x:v>通用但有限的初始物品消耗补偿，复活不能刷首次收益。</x:v>
      </x:c>
      <x:c r="H192" s="128" t="str">
        <x:v>初始抽取物品本回合第一次被消耗时，直接计分2。</x:v>
      </x:c>
      <x:c r="I192" s="128" t="str">
        <x:v>初始抽取物品本回合第一次被消耗时，直接计分2。</x:v>
      </x:c>
      <x:c r="J192" s="128" t="str">
        <x:v>V4→V5</x:v>
      </x:c>
    </x:row>
    <x:row r="193" ht="30" customHeight="1">
      <x:c r="A193" s="134" t="str">
        <x:v>遗物</x:v>
      </x:c>
      <x:c r="B193" s="134" t="str">
        <x:v>R037</x:v>
      </x:c>
      <x:c r="C193" s="134" t="str">
        <x:v>不灭烛芯</x:v>
      </x:c>
      <x:c r="D193" s="134" t="str">
        <x:v>合并</x:v>
      </x:c>
      <x:c r="E193" s="134" t="str">
        <x:v>退出当前目录</x:v>
      </x:c>
      <x:c r="F193" s="134" t="str">
        <x:v>R036 悼念花束</x:v>
      </x:c>
      <x:c r="G193" s="134" t="str">
        <x:v>与悼念花束、幽灵自带被消耗计分重复；保留通用消耗奖励。</x:v>
      </x:c>
      <x:c r="H193" s="134" t="str">
        <x:v>幽灵被消耗时，直接计分1。</x:v>
      </x:c>
      <x:c r="I193" s="134" t="str">
        <x:v>从当前总表和奖励池移除；历史ID保留</x:v>
      </x:c>
      <x:c r="J193" s="134" t="str">
        <x:v>V4→V5</x:v>
      </x:c>
    </x:row>
    <x:row r="194" ht="30" customHeight="1">
      <x:c r="A194" s="128" t="str">
        <x:v>遗物</x:v>
      </x:c>
      <x:c r="B194" s="128" t="str">
        <x:v>R038</x:v>
      </x:c>
      <x:c r="C194" s="128" t="str">
        <x:v>送别铃声</x:v>
      </x:c>
      <x:c r="D194" s="128" t="str">
        <x:v>合并</x:v>
      </x:c>
      <x:c r="E194" s="128" t="str">
        <x:v>退出当前目录</x:v>
      </x:c>
      <x:c r="F194" s="128" t="str">
        <x:v>I077 亡语铃</x:v>
      </x:c>
      <x:c r="G194" s="128" t="str">
        <x:v>与亡语铃自身观察消耗加分重复，不再叠一层同类监听。</x:v>
      </x:c>
      <x:c r="H194" s="128" t="str">
        <x:v>灵魂物品被消耗时，所有当前存活的亡语铃各本回合分值+2。</x:v>
      </x:c>
      <x:c r="I194" s="128" t="str">
        <x:v>从当前总表和奖励池移除；历史ID保留</x:v>
      </x:c>
      <x:c r="J194" s="128" t="str">
        <x:v>V4→V5</x:v>
      </x:c>
    </x:row>
    <x:row r="195" ht="30" customHeight="1">
      <x:c r="A195" s="134" t="str">
        <x:v>遗物</x:v>
      </x:c>
      <x:c r="B195" s="134" t="str">
        <x:v>R039</x:v>
      </x:c>
      <x:c r="C195" s="134" t="str">
        <x:v>魂火提灯</x:v>
      </x:c>
      <x:c r="D195" s="134" t="str">
        <x:v>保留</x:v>
      </x:c>
      <x:c r="E195" s="134" t="str">
        <x:v>魂火提灯</x:v>
      </x:c>
      <x:c r="F195" s="134" t="str">
        <x:v>—</x:v>
      </x:c>
      <x:c r="G195" s="134" t="str">
        <x:v>多次消耗幽灵后的灵魂结算终点，与保留幽灵路线不同。</x:v>
      </x:c>
      <x:c r="H195" s="134" t="str">
        <x:v>结算时，本回合消耗过至少2个不同幽灵时，所有存活魂火和灵魂石结算倍率+75%。</x:v>
      </x:c>
      <x:c r="I195" s="134" t="str">
        <x:v>结算时，本回合消耗过至少2个不同幽灵时，所有存活魂火和灵魂石结算倍率+75%。</x:v>
      </x:c>
      <x:c r="J195" s="134" t="str">
        <x:v>V4→V5</x:v>
      </x:c>
    </x:row>
    <x:row r="196" ht="30" customHeight="1">
      <x:c r="A196" s="128" t="str">
        <x:v>遗物</x:v>
      </x:c>
      <x:c r="B196" s="128" t="str">
        <x:v>R040</x:v>
      </x:c>
      <x:c r="C196" s="128" t="str">
        <x:v>轮回契约</x:v>
      </x:c>
      <x:c r="D196" s="128" t="str">
        <x:v>保留</x:v>
      </x:c>
      <x:c r="E196" s="128" t="str">
        <x:v>轮回契约</x:v>
      </x:c>
      <x:c r="F196" s="128" t="str">
        <x:v>—</x:v>
      </x:c>
      <x:c r="G196" s="128" t="str">
        <x:v>鼓励复活后保住一个目标，不提升复活数量。</x:v>
      </x:c>
      <x:c r="H196" s="128" t="str">
        <x:v>结算时，本回合第一件被轮回匣复活且存活的物品结算倍率+100%。</x:v>
      </x:c>
      <x:c r="I196" s="128" t="str">
        <x:v>结算时，本回合第一件被轮回匣复活且存活的物品结算倍率+100%。</x:v>
      </x:c>
      <x:c r="J196" s="128" t="str">
        <x:v>V4→V5</x:v>
      </x:c>
    </x:row>
    <x:row r="197" ht="30" customHeight="1">
      <x:c r="A197" s="134" t="str">
        <x:v>遗物</x:v>
      </x:c>
      <x:c r="B197" s="134" t="str">
        <x:v>R041</x:v>
      </x:c>
      <x:c r="C197" s="134" t="str">
        <x:v>绒布底座</x:v>
      </x:c>
      <x:c r="D197" s="134" t="str">
        <x:v>保留</x:v>
      </x:c>
      <x:c r="E197" s="134" t="str">
        <x:v>绒布底座</x:v>
      </x:c>
      <x:c r="F197" s="134" t="str">
        <x:v>—</x:v>
      </x:c>
      <x:c r="G197" s="134" t="str">
        <x:v>低门槛宝石基础支援，保留作为早期可用选项。</x:v>
      </x:c>
      <x:c r="H197" s="134" t="str">
        <x:v>结算时，所有存活宝石各本回合分值+1。</x:v>
      </x:c>
      <x:c r="I197" s="134" t="str">
        <x:v>结算时，所有存活宝石各本回合分值+1。</x:v>
      </x:c>
      <x:c r="J197" s="134" t="str">
        <x:v>V4→V5</x:v>
      </x:c>
    </x:row>
    <x:row r="198" ht="30" customHeight="1">
      <x:c r="A198" s="128" t="str">
        <x:v>遗物</x:v>
      </x:c>
      <x:c r="B198" s="128" t="str">
        <x:v>R042</x:v>
      </x:c>
      <x:c r="C198" s="128" t="str">
        <x:v>宝石匣谱</x:v>
      </x:c>
      <x:c r="D198" s="128" t="str">
        <x:v>保留</x:v>
      </x:c>
      <x:c r="E198" s="128" t="str">
        <x:v>宝石匣谱</x:v>
      </x:c>
      <x:c r="F198" s="128" t="str">
        <x:v>—</x:v>
      </x:c>
      <x:c r="G198" s="128" t="str">
        <x:v>多种宝石支援共鸣物品，区别于接触组条件。</x:v>
      </x:c>
      <x:c r="H198" s="128" t="str">
        <x:v>结算时，瓶中宝石每有1种不同名称，所有存活共鸣物品本回合分值+1。</x:v>
      </x:c>
      <x:c r="I198" s="128" t="str">
        <x:v>结算时，瓶中宝石每有1种不同名称，所有存活共鸣物品本回合分值+1。</x:v>
      </x:c>
      <x:c r="J198" s="128" t="str">
        <x:v>V4→V5</x:v>
      </x:c>
    </x:row>
    <x:row r="199" ht="38" customHeight="1">
      <x:c r="A199" s="134" t="str">
        <x:v>遗物</x:v>
      </x:c>
      <x:c r="B199" s="134" t="str">
        <x:v>R043</x:v>
      </x:c>
      <x:c r="C199" s="134" t="str">
        <x:v>共鸣余音</x:v>
      </x:c>
      <x:c r="D199" s="134" t="str">
        <x:v>合并</x:v>
      </x:c>
      <x:c r="E199" s="134" t="str">
        <x:v>退出当前目录</x:v>
      </x:c>
      <x:c r="F199" s="134" t="str">
        <x:v>I087 共鸣石</x:v>
      </x:c>
      <x:c r="G199" s="134" t="str">
        <x:v>为接触组奖励引入9.5秒特殊判定与新产物，收益不抵理解成本。</x:v>
      </x:c>
      <x:c r="H199" s="134" t="str">
        <x:v>若存在至少3件宝石组成的接触组，在符合条件且当前分值最高的宝石附近临时，生成1颗回声珠。</x:v>
      </x:c>
      <x:c r="I199" s="134" t="str">
        <x:v>从当前总表和奖励池移除；历史ID保留</x:v>
      </x:c>
      <x:c r="J199" s="134" t="str">
        <x:v>V4→V5</x:v>
      </x:c>
    </x:row>
    <x:row r="200" ht="30" customHeight="1">
      <x:c r="A200" s="128" t="str">
        <x:v>遗物</x:v>
      </x:c>
      <x:c r="B200" s="128" t="str">
        <x:v>R044</x:v>
      </x:c>
      <x:c r="C200" s="128" t="str">
        <x:v>透镜镀膜</x:v>
      </x:c>
      <x:c r="D200" s="128" t="str">
        <x:v>保留</x:v>
      </x:c>
      <x:c r="E200" s="128" t="str">
        <x:v>透镜镀膜</x:v>
      </x:c>
      <x:c r="F200" s="128" t="str">
        <x:v>—</x:v>
      </x:c>
      <x:c r="G200" s="128" t="str">
        <x:v>仅强化镜片的读取比例，不新增结算顺序。</x:v>
      </x:c>
      <x:c r="H200" s="128" t="str">
        <x:v>结算时，镜片读取的比例由50%改为75%。</x:v>
      </x:c>
      <x:c r="I200" s="128" t="str">
        <x:v>结算时，镜片读取的比例由50%改为75%。</x:v>
      </x:c>
      <x:c r="J200" s="128" t="str">
        <x:v>V4→V5</x:v>
      </x:c>
    </x:row>
    <x:row r="201" ht="30" customHeight="1">
      <x:c r="A201" s="134" t="str">
        <x:v>遗物</x:v>
      </x:c>
      <x:c r="B201" s="134" t="str">
        <x:v>R045</x:v>
      </x:c>
      <x:c r="C201" s="134" t="str">
        <x:v>七彩折射</x:v>
      </x:c>
      <x:c r="D201" s="134" t="str">
        <x:v>保留</x:v>
      </x:c>
      <x:c r="E201" s="134" t="str">
        <x:v>七彩折射</x:v>
      </x:c>
      <x:c r="F201" s="134" t="str">
        <x:v>—</x:v>
      </x:c>
      <x:c r="G201" s="134" t="str">
        <x:v>多种宝石全局倍率终点，不再与鉴定师重复。</x:v>
      </x:c>
      <x:c r="H201" s="134" t="str">
        <x:v>结算时，瓶中至少有5种不同宝石时，所有存活宝石结算倍率+50%。</x:v>
      </x:c>
      <x:c r="I201" s="134" t="str">
        <x:v>结算时，瓶中至少有5种不同宝石时，所有存活宝石结算倍率+50%。</x:v>
      </x:c>
      <x:c r="J201" s="134" t="str">
        <x:v>V4→V5</x:v>
      </x:c>
    </x:row>
    <x:row r="202" ht="30" customHeight="1">
      <x:c r="A202" s="128" t="str">
        <x:v>遗物</x:v>
      </x:c>
      <x:c r="B202" s="128" t="str">
        <x:v>R046</x:v>
      </x:c>
      <x:c r="C202" s="128" t="str">
        <x:v>磨刀石</x:v>
      </x:c>
      <x:c r="D202" s="128" t="str">
        <x:v>保留</x:v>
      </x:c>
      <x:c r="E202" s="128" t="str">
        <x:v>磨刀石</x:v>
      </x:c>
      <x:c r="F202" s="128" t="str">
        <x:v>—</x:v>
      </x:c>
      <x:c r="G202" s="128" t="str">
        <x:v>磨刀奖励实际命中，但伤害仍固定，避免额外战斗规则。</x:v>
      </x:c>
      <x:c r="H202" s="128" t="str">
        <x:v>木剑实际造成伤害后，该木剑本回合分值+2。</x:v>
      </x:c>
      <x:c r="I202" s="128" t="str">
        <x:v>木剑实际造成伤害后，该木剑本回合分值+2。</x:v>
      </x:c>
      <x:c r="J202" s="128" t="str">
        <x:v>V4→V5</x:v>
      </x:c>
    </x:row>
    <x:row r="203" ht="30" customHeight="1">
      <x:c r="A203" s="134" t="str">
        <x:v>遗物</x:v>
      </x:c>
      <x:c r="B203" s="134" t="str">
        <x:v>R047</x:v>
      </x:c>
      <x:c r="C203" s="134" t="str">
        <x:v>备用钥匙圈</x:v>
      </x:c>
      <x:c r="D203" s="134" t="str">
        <x:v>保留</x:v>
      </x:c>
      <x:c r="E203" s="134" t="str">
        <x:v>备用钥匙圈</x:v>
      </x:c>
      <x:c r="F203" s="134" t="str">
        <x:v>—</x:v>
      </x:c>
      <x:c r="G203" s="134" t="str">
        <x:v>有宝箱才补一把永久钥匙，开箱资源能解释。</x:v>
      </x:c>
      <x:c r="H203" s="134" t="str">
        <x:v>回合开始时，若初始抽取中有宝箱，在其中1个宝箱附近生成1把钥匙。</x:v>
      </x:c>
      <x:c r="I203" s="134" t="str">
        <x:v>回合开始时，若初始抽取中有宝箱，在其中1个宝箱附近生成1把钥匙。</x:v>
      </x:c>
      <x:c r="J203" s="134" t="str">
        <x:v>V4→V5</x:v>
      </x:c>
    </x:row>
    <x:row r="204" ht="30" customHeight="1">
      <x:c r="A204" s="128" t="str">
        <x:v>遗物</x:v>
      </x:c>
      <x:c r="B204" s="128" t="str">
        <x:v>R048</x:v>
      </x:c>
      <x:c r="C204" s="128" t="str">
        <x:v>旅途地图册</x:v>
      </x:c>
      <x:c r="D204" s="128" t="str">
        <x:v>合并</x:v>
      </x:c>
      <x:c r="E204" s="128" t="str">
        <x:v>退出当前目录</x:v>
      </x:c>
      <x:c r="F204" s="128" t="str">
        <x:v>I096 地图</x:v>
      </x:c>
      <x:c r="G204" s="128" t="str">
        <x:v>只是把地图原有相邻加分再加一次，无独立构筑方向。</x:v>
      </x:c>
      <x:c r="H204" s="128" t="str">
        <x:v>结算时，与地图接触的探险物品各本回合分值+4。</x:v>
      </x:c>
      <x:c r="I204" s="128" t="str">
        <x:v>从当前总表和奖励池移除；历史ID保留</x:v>
      </x:c>
      <x:c r="J204" s="128" t="str">
        <x:v>V4→V5</x:v>
      </x:c>
    </x:row>
    <x:row r="205" ht="30" customHeight="1">
      <x:c r="A205" s="134" t="str">
        <x:v>遗物</x:v>
      </x:c>
      <x:c r="B205" s="134" t="str">
        <x:v>R049</x:v>
      </x:c>
      <x:c r="C205" s="134" t="str">
        <x:v>胜利绶带</x:v>
      </x:c>
      <x:c r="D205" s="134" t="str">
        <x:v>保留</x:v>
      </x:c>
      <x:c r="E205" s="134" t="str">
        <x:v>胜利绶带</x:v>
      </x:c>
      <x:c r="F205" s="134" t="str">
        <x:v>—</x:v>
      </x:c>
      <x:c r="G205" s="134" t="str">
        <x:v>击败巨像奖励实际参与的武器，不奖励未接触武器。</x:v>
      </x:c>
      <x:c r="H205" s="134" t="str">
        <x:v>守门巨像被击败时，所有实际伤害过它且仍存活的木剑各本回合分值+6。</x:v>
      </x:c>
      <x:c r="I205" s="134" t="str">
        <x:v>守门巨像被击败时，所有实际伤害过它且仍存活的木剑各本回合分值+6。</x:v>
      </x:c>
      <x:c r="J205" s="134" t="str">
        <x:v>V4→V5</x:v>
      </x:c>
    </x:row>
    <x:row r="206" ht="38" customHeight="1">
      <x:c r="A206" s="128" t="str">
        <x:v>遗物</x:v>
      </x:c>
      <x:c r="B206" s="128" t="str">
        <x:v>R050</x:v>
      </x:c>
      <x:c r="C206" s="128" t="str">
        <x:v>探险家勋章</x:v>
      </x:c>
      <x:c r="D206" s="128" t="str">
        <x:v>保留</x:v>
      </x:c>
      <x:c r="E206" s="128" t="str">
        <x:v>探险家勋章</x:v>
      </x:c>
      <x:c r="F206" s="128" t="str">
        <x:v>—</x:v>
      </x:c>
      <x:c r="G206" s="128" t="str">
        <x:v>同时完成开箱和战斗的探险终点，达成条件可见。</x:v>
      </x:c>
      <x:c r="H206" s="128" t="str">
        <x:v>结算时，本回合既打开过宝箱又击败过守门巨像时，所有存活探险物品结算倍率+100%。</x:v>
      </x:c>
      <x:c r="I206" s="128" t="str">
        <x:v>结算时，本回合既打开过宝箱又击败过守门巨像时，所有存活探险物品结算倍率+100%。</x:v>
      </x:c>
      <x:c r="J206" s="128" t="str">
        <x:v>V4→V5</x:v>
      </x:c>
    </x:row>
    <x:row r="207" ht="30" customHeight="1">
      <x:c r="A207" s="134" t="str">
        <x:v>遗物</x:v>
      </x:c>
      <x:c r="B207" s="134" t="str">
        <x:v>R051</x:v>
      </x:c>
      <x:c r="C207" s="134" t="str">
        <x:v>印泥</x:v>
      </x:c>
      <x:c r="D207" s="134" t="str">
        <x:v>保留</x:v>
      </x:c>
      <x:c r="E207" s="134" t="str">
        <x:v>印泥</x:v>
      </x:c>
      <x:c r="F207" s="134" t="str">
        <x:v>—</x:v>
      </x:c>
      <x:c r="G207" s="134" t="str">
        <x:v>提高盖章带来的收藏价值，合并入原增值事件。</x:v>
      </x:c>
      <x:c r="H207" s="134" t="str">
        <x:v>印章使信封或纪念票的永久基础分增加时，该次增加量+1。</x:v>
      </x:c>
      <x:c r="I207" s="134" t="str">
        <x:v>印章使信封或纪念票的永久基础分增加时，该次增加量+1。</x:v>
      </x:c>
      <x:c r="J207" s="134" t="str">
        <x:v>V4→V5</x:v>
      </x:c>
    </x:row>
    <x:row r="208" ht="30" customHeight="1">
      <x:c r="A208" s="128" t="str">
        <x:v>遗物</x:v>
      </x:c>
      <x:c r="B208" s="128" t="str">
        <x:v>R052</x:v>
      </x:c>
      <x:c r="C208" s="128" t="str">
        <x:v>接力手册</x:v>
      </x:c>
      <x:c r="D208" s="128" t="str">
        <x:v>合并</x:v>
      </x:c>
      <x:c r="E208" s="128" t="str">
        <x:v>退出当前目录</x:v>
      </x:c>
      <x:c r="F208" s="128" t="str">
        <x:v>I109 星图</x:v>
      </x:c>
      <x:c r="G208" s="128" t="str">
        <x:v>重复星图的两种增值来源条件，连锁奖励集中到星图。</x:v>
      </x:c>
      <x:c r="H208" s="128" t="str">
        <x:v>结算时，本回合曾被至少2种不同物品增值过的存活物品，各本回合分值+2。</x:v>
      </x:c>
      <x:c r="I208" s="128" t="str">
        <x:v>从当前总表和奖励池移除；历史ID保留</x:v>
      </x:c>
      <x:c r="J208" s="128" t="str">
        <x:v>V4→V5</x:v>
      </x:c>
    </x:row>
    <x:row r="209" ht="30" customHeight="1">
      <x:c r="A209" s="134" t="str">
        <x:v>遗物</x:v>
      </x:c>
      <x:c r="B209" s="134" t="str">
        <x:v>R053</x:v>
      </x:c>
      <x:c r="C209" s="134" t="str">
        <x:v>集邮册</x:v>
      </x:c>
      <x:c r="D209" s="134" t="str">
        <x:v>保留</x:v>
      </x:c>
      <x:c r="E209" s="134" t="str">
        <x:v>集邮册</x:v>
      </x:c>
      <x:c r="F209" s="134" t="str">
        <x:v>—</x:v>
      </x:c>
      <x:c r="G209" s="134" t="str">
        <x:v>投递信封留下纪念票，但投递票不能反复产票。</x:v>
      </x:c>
      <x:c r="H209" s="134" t="str">
        <x:v>邮筒消耗信封时，生成1张纪念票。</x:v>
      </x:c>
      <x:c r="I209" s="134" t="str">
        <x:v>邮筒消耗信封时，生成1张纪念票。</x:v>
      </x:c>
      <x:c r="J209" s="134" t="str">
        <x:v>V4→V5</x:v>
      </x:c>
    </x:row>
    <x:row r="210" ht="30" customHeight="1">
      <x:c r="A210" s="128" t="str">
        <x:v>遗物</x:v>
      </x:c>
      <x:c r="B210" s="128" t="str">
        <x:v>R054</x:v>
      </x:c>
      <x:c r="C210" s="128" t="str">
        <x:v>接力奖章</x:v>
      </x:c>
      <x:c r="D210" s="128" t="str">
        <x:v>保留</x:v>
      </x:c>
      <x:c r="E210" s="128" t="str">
        <x:v>接力奖章</x:v>
      </x:c>
      <x:c r="F210" s="128" t="str">
        <x:v>—</x:v>
      </x:c>
      <x:c r="G210" s="128" t="str">
        <x:v>奖励真正完成多次接力的接力棒，区别于星图奖励接收者。</x:v>
      </x:c>
      <x:c r="H210" s="128" t="str">
        <x:v>结算时，本回合成功增值过至少2件物品的接力棒，结算倍率+100%。</x:v>
      </x:c>
      <x:c r="I210" s="128" t="str">
        <x:v>结算时，本回合成功增值过至少2件物品的接力棒，结算倍率+100%。</x:v>
      </x:c>
      <x:c r="J210" s="128" t="str">
        <x:v>V4→V5</x:v>
      </x:c>
    </x:row>
    <x:row r="211" ht="38" customHeight="1">
      <x:c r="A211" s="134" t="str">
        <x:v>遗物</x:v>
      </x:c>
      <x:c r="B211" s="134" t="str">
        <x:v>R055</x:v>
      </x:c>
      <x:c r="C211" s="134" t="str">
        <x:v>连环封印</x:v>
      </x:c>
      <x:c r="D211" s="134" t="str">
        <x:v>合并</x:v>
      </x:c>
      <x:c r="E211" s="134" t="str">
        <x:v>退出当前目录</x:v>
      </x:c>
      <x:c r="F211" s="134" t="str">
        <x:v>I109 星图</x:v>
      </x:c>
      <x:c r="G211" s="134" t="str">
        <x:v>重复两种增值来源条件并额外统计四个目标，删除嵌套门槛。</x:v>
      </x:c>
      <x:c r="H211" s="134" t="str">
        <x:v>结算时，瓶中至少4件非连锁物品曾被至少2种不同物品增值过时，所有存活连锁物品本回合分值+6。</x:v>
      </x:c>
      <x:c r="I211" s="134" t="str">
        <x:v>从当前总表和奖励池移除；历史ID保留</x:v>
      </x:c>
      <x:c r="J211" s="134" t="str">
        <x:v>V4→V5</x:v>
      </x:c>
    </x:row>
    <x:row r="212" ht="30" customHeight="1">
      <x:c r="A212" s="128" t="str">
        <x:v>遗物</x:v>
      </x:c>
      <x:c r="B212" s="128" t="str">
        <x:v>R056</x:v>
      </x:c>
      <x:c r="C212" s="128" t="str">
        <x:v>旧照片</x:v>
      </x:c>
      <x:c r="D212" s="128" t="str">
        <x:v>保留</x:v>
      </x:c>
      <x:c r="E212" s="128" t="str">
        <x:v>旧照片</x:v>
      </x:c>
      <x:c r="F212" s="128" t="str">
        <x:v>—</x:v>
      </x:c>
      <x:c r="G212" s="128" t="str">
        <x:v>对已有永久成长的物品稳定补分，不再产生新成长。</x:v>
      </x:c>
      <x:c r="H212" s="128" t="str">
        <x:v>结算时，永久基础分高于该形态初始基础分的存活物品，各本回合分值+2。</x:v>
      </x:c>
      <x:c r="I212" s="128" t="str">
        <x:v>结算时，永久基础分高于该形态初始基础分的存活物品，各本回合分值+2。</x:v>
      </x:c>
      <x:c r="J212" s="128" t="str">
        <x:v>V4→V5</x:v>
      </x:c>
    </x:row>
    <x:row r="213" ht="30" customHeight="1">
      <x:c r="A213" s="134" t="str">
        <x:v>遗物</x:v>
      </x:c>
      <x:c r="B213" s="134" t="str">
        <x:v>R057</x:v>
      </x:c>
      <x:c r="C213" s="134" t="str">
        <x:v>登场纪念章</x:v>
      </x:c>
      <x:c r="D213" s="134" t="str">
        <x:v>合并</x:v>
      </x:c>
      <x:c r="E213" s="134" t="str">
        <x:v>退出当前目录</x:v>
      </x:c>
      <x:c r="F213" s="134" t="str">
        <x:v>I082 黄水晶</x:v>
      </x:c>
      <x:c r="G213" s="134" t="str">
        <x:v>重复黄水晶的最低成长物品培养；保留需要接触的成长支援。</x:v>
      </x:c>
      <x:c r="H213" s="134" t="str">
        <x:v>结算结束时，初始抽取且存活的成长物品中，永久基础分最低的1件永久基础分+1。</x:v>
      </x:c>
      <x:c r="I213" s="134" t="str">
        <x:v>从当前总表和奖励池移除；历史ID保留</x:v>
      </x:c>
      <x:c r="J213" s="134" t="str">
        <x:v>V4→V5</x:v>
      </x:c>
    </x:row>
    <x:row r="214" ht="30" customHeight="1">
      <x:c r="A214" s="128" t="str">
        <x:v>遗物</x:v>
      </x:c>
      <x:c r="B214" s="128" t="str">
        <x:v>R058</x:v>
      </x:c>
      <x:c r="C214" s="128" t="str">
        <x:v>精密标尺</x:v>
      </x:c>
      <x:c r="D214" s="128" t="str">
        <x:v>移除</x:v>
      </x:c>
      <x:c r="E214" s="128" t="str">
        <x:v>退出当前目录</x:v>
      </x:c>
      <x:c r="F214" s="128" t="str">
        <x:v>—</x:v>
      </x:c>
      <x:c r="G214" s="128" t="str">
        <x:v>只为额外1分添加结算加分之后的新阶段，删除顺序依赖。</x:v>
      </x:c>
      <x:c r="H214" s="128" t="str">
        <x:v>其他结算加分完成后，已获得正数结算加分的物品，本回合分值再+1。</x:v>
      </x:c>
      <x:c r="I214" s="128" t="str">
        <x:v>从当前总表和奖励池移除；历史ID保留</x:v>
      </x:c>
      <x:c r="J214" s="128" t="str">
        <x:v>V4→V5</x:v>
      </x:c>
    </x:row>
    <x:row r="215" ht="30" customHeight="1">
      <x:c r="A215" s="134" t="str">
        <x:v>遗物</x:v>
      </x:c>
      <x:c r="B215" s="134" t="str">
        <x:v>R059</x:v>
      </x:c>
      <x:c r="C215" s="134" t="str">
        <x:v>头等奖座</x:v>
      </x:c>
      <x:c r="D215" s="134" t="str">
        <x:v>合并</x:v>
      </x:c>
      <x:c r="E215" s="134" t="str">
        <x:v>退出当前目录</x:v>
      </x:c>
      <x:c r="F215" s="134" t="str">
        <x:v>I120 桂冠</x:v>
      </x:c>
      <x:c r="G215" s="134" t="str">
        <x:v>重复桂冠的唯一最高分倍率终点。</x:v>
      </x:c>
      <x:c r="H215" s="134" t="str">
        <x:v>结算时，冻结分值唯一最高且至少为10的物品，结算倍率+50%。</x:v>
      </x:c>
      <x:c r="I215" s="134" t="str">
        <x:v>从当前总表和奖励池移除；历史ID保留</x:v>
      </x:c>
      <x:c r="J215" s="134" t="str">
        <x:v>V4→V5</x:v>
      </x:c>
    </x:row>
    <x:row r="216" ht="38" customHeight="1">
      <x:c r="A216" s="128" t="str">
        <x:v>遗物</x:v>
      </x:c>
      <x:c r="B216" s="128" t="str">
        <x:v>R060</x:v>
      </x:c>
      <x:c r="C216" s="128" t="str">
        <x:v>时代藏品</x:v>
      </x:c>
      <x:c r="D216" s="128" t="str">
        <x:v>保留</x:v>
      </x:c>
      <x:c r="E216" s="128" t="str">
        <x:v>时代藏品</x:v>
      </x:c>
      <x:c r="F216" s="128" t="str">
        <x:v>—</x:v>
      </x:c>
      <x:c r="G216" s="128" t="str">
        <x:v>多件长成核心后的倍率终点，与本回合成长计数不同。</x:v>
      </x:c>
      <x:c r="H216" s="128" t="str">
        <x:v>结算时，至少3件存活物品具有永久基础分成长增量时，所有存活成长物品结算倍率+50%。</x:v>
      </x:c>
      <x:c r="I216" s="128" t="str">
        <x:v>结算时，至少3件存活物品具有永久基础分成长增量时，所有存活成长物品结算倍率+50%。</x:v>
      </x:c>
      <x:c r="J216" s="128" t="str">
        <x:v>V4→V5</x:v>
      </x:c>
    </x:row>
    <x:row r="217" ht="30" customHeight="1">
      <x:c r="A217" s="134" t="str">
        <x:v>遗物</x:v>
      </x:c>
      <x:c r="B217" s="134" t="str">
        <x:v>R061</x:v>
      </x:c>
      <x:c r="C217" s="134" t="str">
        <x:v>标准刻度</x:v>
      </x:c>
      <x:c r="D217" s="134" t="str">
        <x:v>保留</x:v>
      </x:c>
      <x:c r="E217" s="134" t="str">
        <x:v>标准刻度</x:v>
      </x:c>
      <x:c r="F217" s="134" t="str">
        <x:v>—</x:v>
      </x:c>
      <x:c r="G217" s="134" t="str">
        <x:v>保留一种无复杂前置的通用初始物品奖励。</x:v>
      </x:c>
      <x:c r="H217" s="134" t="str">
        <x:v>结算时，所有初始抽取且存活的物品，各本回合分值+1。</x:v>
      </x:c>
      <x:c r="I217" s="134" t="str">
        <x:v>结算时，所有初始抽取且存活的物品，各本回合分值+1。</x:v>
      </x:c>
      <x:c r="J217" s="134" t="str">
        <x:v>V4→V5</x:v>
      </x:c>
    </x:row>
    <x:row r="218" ht="30" customHeight="1">
      <x:c r="A218" s="128" t="str">
        <x:v>遗物</x:v>
      </x:c>
      <x:c r="B218" s="128" t="str">
        <x:v>R062</x:v>
      </x:c>
      <x:c r="C218" s="128" t="str">
        <x:v>新品收据</x:v>
      </x:c>
      <x:c r="D218" s="128" t="str">
        <x:v>保留</x:v>
      </x:c>
      <x:c r="E218" s="128" t="str">
        <x:v>新品收据</x:v>
      </x:c>
      <x:c r="F218" s="128" t="str">
        <x:v>—</x:v>
      </x:c>
      <x:c r="G218" s="128" t="str">
        <x:v>奖励真实永久生成，排除追加、临时、复活与变形。</x:v>
      </x:c>
      <x:c r="H218" s="128" t="str">
        <x:v>每正常生成1件永久物品，直接计分1。</x:v>
      </x:c>
      <x:c r="I218" s="128" t="str">
        <x:v>每正常生成1件永久物品，直接计分1。</x:v>
      </x:c>
      <x:c r="J218" s="128" t="str">
        <x:v>V4→V5</x:v>
      </x:c>
    </x:row>
    <x:row r="219" ht="30" customHeight="1">
      <x:c r="A219" s="134" t="str">
        <x:v>遗物</x:v>
      </x:c>
      <x:c r="B219" s="134" t="str">
        <x:v>R063</x:v>
      </x:c>
      <x:c r="C219" s="134" t="str">
        <x:v>圆形徽章</x:v>
      </x:c>
      <x:c r="D219" s="134" t="str">
        <x:v>保留</x:v>
      </x:c>
      <x:c r="E219" s="134" t="str">
        <x:v>圆形徽章</x:v>
      </x:c>
      <x:c r="F219" s="134" t="str">
        <x:v>—</x:v>
      </x:c>
      <x:c r="G219" s="134" t="str">
        <x:v>保留一个单形状构筑方向，移除仅换形状的重复遗物。</x:v>
      </x:c>
      <x:c r="H219" s="134" t="str">
        <x:v>结算时，标准形状为圆形的存活物品，各本回合分值+2。</x:v>
      </x:c>
      <x:c r="I219" s="134" t="str">
        <x:v>结算时，标准形状为圆形的存活物品，各本回合分值+2。</x:v>
      </x:c>
      <x:c r="J219" s="134" t="str">
        <x:v>V4→V5</x:v>
      </x:c>
    </x:row>
    <x:row r="220" ht="30" customHeight="1">
      <x:c r="A220" s="128" t="str">
        <x:v>遗物</x:v>
      </x:c>
      <x:c r="B220" s="128" t="str">
        <x:v>R064</x:v>
      </x:c>
      <x:c r="C220" s="128" t="str">
        <x:v>方形徽章</x:v>
      </x:c>
      <x:c r="D220" s="128" t="str">
        <x:v>合并</x:v>
      </x:c>
      <x:c r="E220" s="128" t="str">
        <x:v>退出当前目录</x:v>
      </x:c>
      <x:c r="F220" s="128" t="str">
        <x:v>R063 圆形徽章</x:v>
      </x:c>
      <x:c r="G220" s="128" t="str">
        <x:v>与圆形徽章仅替换形状；保留一个单形状方向及混搭布袋的多形状方向。</x:v>
      </x:c>
      <x:c r="H220" s="128" t="str">
        <x:v>结算时，标准形状为方形的存活物品，各本回合分值+2。</x:v>
      </x:c>
      <x:c r="I220" s="128" t="str">
        <x:v>从当前总表和奖励池移除；历史ID保留</x:v>
      </x:c>
      <x:c r="J220" s="128" t="str">
        <x:v>V4→V5</x:v>
      </x:c>
    </x:row>
    <x:row r="221" ht="30" customHeight="1">
      <x:c r="A221" s="134" t="str">
        <x:v>遗物</x:v>
      </x:c>
      <x:c r="B221" s="134" t="str">
        <x:v>R065</x:v>
      </x:c>
      <x:c r="C221" s="134" t="str">
        <x:v>混搭布袋</x:v>
      </x:c>
      <x:c r="D221" s="134" t="str">
        <x:v>保留</x:v>
      </x:c>
      <x:c r="E221" s="134" t="str">
        <x:v>混搭布袋</x:v>
      </x:c>
      <x:c r="F221" s="134" t="str">
        <x:v>—</x:v>
      </x:c>
      <x:c r="G221" s="134" t="str">
        <x:v>奖励多形状组合，与圆形单一方向相对。</x:v>
      </x:c>
      <x:c r="H221" s="134" t="str">
        <x:v>结算时，瓶中至少有4种标准形状时，所有初始抽取且存活的物品，各本回合分值+2。</x:v>
      </x:c>
      <x:c r="I221" s="134" t="str">
        <x:v>结算时，瓶中至少有4种标准形状时，所有初始抽取且存活的物品，各本回合分值+2。</x:v>
      </x:c>
      <x:c r="J221" s="134" t="str">
        <x:v>V4→V5</x:v>
      </x:c>
    </x:row>
    <x:row r="222" ht="30" customHeight="1">
      <x:c r="A222" s="128" t="str">
        <x:v>遗物</x:v>
      </x:c>
      <x:c r="B222" s="128" t="str">
        <x:v>R066</x:v>
      </x:c>
      <x:c r="C222" s="128" t="str">
        <x:v>普通奇迹</x:v>
      </x:c>
      <x:c r="D222" s="128" t="str">
        <x:v>保留</x:v>
      </x:c>
      <x:c r="E222" s="128" t="str">
        <x:v>普通奇迹</x:v>
      </x:c>
      <x:c r="F222" s="128" t="str">
        <x:v>—</x:v>
      </x:c>
      <x:c r="G222" s="128" t="str">
        <x:v>鼓励普通品质物品成型，区别于高品质堆叠。</x:v>
      </x:c>
      <x:c r="H222" s="128" t="str">
        <x:v>结算时，普通品质且存活的物品，各本回合分值+3。</x:v>
      </x:c>
      <x:c r="I222" s="128" t="str">
        <x:v>结算时，普通品质且存活的物品，各本回合分值+3。</x:v>
      </x:c>
      <x:c r="J222" s="128" t="str">
        <x:v>V4→V5</x:v>
      </x:c>
    </x:row>
    <x:row r="223" ht="30" customHeight="1">
      <x:c r="A223" s="134" t="str">
        <x:v>遗物</x:v>
      </x:c>
      <x:c r="B223" s="134" t="str">
        <x:v>R067</x:v>
      </x:c>
      <x:c r="C223" s="134" t="str">
        <x:v>孤品展柜</x:v>
      </x:c>
      <x:c r="D223" s="134" t="str">
        <x:v>保留</x:v>
      </x:c>
      <x:c r="E223" s="134" t="str">
        <x:v>孤品展柜</x:v>
      </x:c>
      <x:c r="F223" s="134" t="str">
        <x:v>—</x:v>
      </x:c>
      <x:c r="G223" s="134" t="str">
        <x:v>按瓶中同名数量支持单件构筑，非按物品总量计数。</x:v>
      </x:c>
      <x:c r="H223" s="134" t="str">
        <x:v>结算时，名称在瓶中仅出现1次的物品，结算倍率+25%。</x:v>
      </x:c>
      <x:c r="I223" s="134" t="str">
        <x:v>结算时，名称在瓶中仅出现1次的物品，结算倍率+25%。</x:v>
      </x:c>
      <x:c r="J223" s="134" t="str">
        <x:v>V4→V5</x:v>
      </x:c>
    </x:row>
    <x:row r="224" ht="30" customHeight="1">
      <x:c r="A224" s="128" t="str">
        <x:v>遗物</x:v>
      </x:c>
      <x:c r="B224" s="128" t="str">
        <x:v>R068</x:v>
      </x:c>
      <x:c r="C224" s="128" t="str">
        <x:v>结伴绳结</x:v>
      </x:c>
      <x:c r="D224" s="128" t="str">
        <x:v>保留</x:v>
      </x:c>
      <x:c r="E224" s="128" t="str">
        <x:v>结伴绳结</x:v>
      </x:c>
      <x:c r="F224" s="128" t="str">
        <x:v>—</x:v>
      </x:c>
      <x:c r="G224" s="128" t="str">
        <x:v>只需一对接触即可理解，要求冻结时保住成对布局。</x:v>
      </x:c>
      <x:c r="H224" s="128" t="str">
        <x:v>结算时，恰好接触1件其他物品的物品，各本回合分值+4。</x:v>
      </x:c>
      <x:c r="I224" s="128" t="str">
        <x:v>结算时，恰好接触1件其他物品的物品，各本回合分值+4。</x:v>
      </x:c>
      <x:c r="J224" s="128" t="str">
        <x:v>V4→V5</x:v>
      </x:c>
    </x:row>
    <x:row r="225" ht="30" customHeight="1">
      <x:c r="A225" s="134" t="str">
        <x:v>遗物</x:v>
      </x:c>
      <x:c r="B225" s="134" t="str">
        <x:v>R069</x:v>
      </x:c>
      <x:c r="C225" s="134" t="str">
        <x:v>拥挤奖券</x:v>
      </x:c>
      <x:c r="D225" s="134" t="str">
        <x:v>保留</x:v>
      </x:c>
      <x:c r="E225" s="134" t="str">
        <x:v>拥挤奖券</x:v>
      </x:c>
      <x:c r="F225" s="134" t="str">
        <x:v>—</x:v>
      </x:c>
      <x:c r="G225" s="134" t="str">
        <x:v>鼓励生成后保留大量实体，存在挤占空间的实际取舍。</x:v>
      </x:c>
      <x:c r="H225" s="134" t="str">
        <x:v>结算时，瓶中至少有24件物品时，本回合生成且存活的物品，各本回合分值+2。</x:v>
      </x:c>
      <x:c r="I225" s="134" t="str">
        <x:v>结算时，瓶中至少有24件物品时，本回合生成且存活的物品，各本回合分值+2。</x:v>
      </x:c>
      <x:c r="J225" s="134" t="str">
        <x:v>V4→V5</x:v>
      </x:c>
    </x:row>
    <x:row r="226" ht="30" customHeight="1">
      <x:c r="A226" s="128" t="str">
        <x:v>遗物</x:v>
      </x:c>
      <x:c r="B226" s="128" t="str">
        <x:v>R070</x:v>
      </x:c>
      <x:c r="C226" s="128" t="str">
        <x:v>精选名册</x:v>
      </x:c>
      <x:c r="D226" s="128" t="str">
        <x:v>保留</x:v>
      </x:c>
      <x:c r="E226" s="128" t="str">
        <x:v>精选名册</x:v>
      </x:c>
      <x:c r="F226" s="128" t="str">
        <x:v>—</x:v>
      </x:c>
      <x:c r="G226" s="128" t="str">
        <x:v>鼓励回合内消耗精简瓶中实体，不改变16件初始抽取。</x:v>
      </x:c>
      <x:c r="H226" s="128" t="str">
        <x:v>结算时，瓶中不超过12件物品时，所有存活物品结算倍率+25%。</x:v>
      </x:c>
      <x:c r="I226" s="128" t="str">
        <x:v>结算时，瓶中不超过12件物品时，所有存活物品结算倍率+25%。</x:v>
      </x:c>
      <x:c r="J226" s="128" t="str">
        <x:v>V4→V5</x:v>
      </x:c>
    </x:row>
    <x:row r="227" ht="30" customHeight="1">
      <x:c r="A227" s="134" t="str">
        <x:v>遗物</x:v>
      </x:c>
      <x:c r="B227" s="134" t="str">
        <x:v>R071</x:v>
      </x:c>
      <x:c r="C227" s="134" t="str">
        <x:v>首遇礼物</x:v>
      </x:c>
      <x:c r="D227" s="134" t="str">
        <x:v>合并</x:v>
      </x:c>
      <x:c r="E227" s="134" t="str">
        <x:v>退出当前目录</x:v>
      </x:c>
      <x:c r="F227" s="134" t="str">
        <x:v>R061 标准刻度</x:v>
      </x:c>
      <x:c r="G227" s="134" t="str">
        <x:v>初始物品首次接触近乎必然发生，与标准刻度的基础奖励差异太小。</x:v>
      </x:c>
      <x:c r="H227" s="134" t="str">
        <x:v>初始抽取物品首次接触其他实例时，自身本回合分值+1。</x:v>
      </x:c>
      <x:c r="I227" s="134" t="str">
        <x:v>从当前总表和奖励池移除；历史ID保留</x:v>
      </x:c>
      <x:c r="J227" s="134" t="str">
        <x:v>V4→V5</x:v>
      </x:c>
    </x:row>
    <x:row r="228" ht="30" customHeight="1">
      <x:c r="A228" s="128" t="str">
        <x:v>遗物</x:v>
      </x:c>
      <x:c r="B228" s="128" t="str">
        <x:v>R072</x:v>
      </x:c>
      <x:c r="C228" s="128" t="str">
        <x:v>最后一页</x:v>
      </x:c>
      <x:c r="D228" s="128" t="str">
        <x:v>保留</x:v>
      </x:c>
      <x:c r="E228" s="128" t="str">
        <x:v>最后一页</x:v>
      </x:c>
      <x:c r="F228" s="128" t="str">
        <x:v>—</x:v>
      </x:c>
      <x:c r="G228" s="128" t="str">
        <x:v>保留临近五回合检查点的单一轮次奖励。</x:v>
      </x:c>
      <x:c r="H228" s="128" t="str">
        <x:v>结算时，每5回合中的第5回合，所有初始抽取且存活的物品，各本回合分值+3。</x:v>
      </x:c>
      <x:c r="I228" s="128" t="str">
        <x:v>结算时，每5回合中的第5回合，所有初始抽取且存活的物品，各本回合分值+3。</x:v>
      </x:c>
      <x:c r="J228" s="128" t="str">
        <x:v>V4→V5</x:v>
      </x:c>
    </x:row>
    <x:row r="229" ht="30" customHeight="1">
      <x:c r="A229" s="134" t="str">
        <x:v>遗物</x:v>
      </x:c>
      <x:c r="B229" s="134" t="str">
        <x:v>R073</x:v>
      </x:c>
      <x:c r="C229" s="134" t="str">
        <x:v>开场序曲</x:v>
      </x:c>
      <x:c r="D229" s="134" t="str">
        <x:v>合并</x:v>
      </x:c>
      <x:c r="E229" s="134" t="str">
        <x:v>退出当前目录</x:v>
      </x:c>
      <x:c r="F229" s="134" t="str">
        <x:v>R072 最后一页</x:v>
      </x:c>
      <x:c r="G229" s="134" t="str">
        <x:v>与最后一页仅更换阶段轮次；保留临近目标检查的收官奖励。</x:v>
      </x:c>
      <x:c r="H229" s="134" t="str">
        <x:v>结算时，每5回合中的第1回合，所有初始抽取且存活的物品，各本回合分值+3。</x:v>
      </x:c>
      <x:c r="I229" s="134" t="str">
        <x:v>从当前总表和奖励池移除；历史ID保留</x:v>
      </x:c>
      <x:c r="J229" s="134" t="str">
        <x:v>V4→V5</x:v>
      </x:c>
    </x:row>
    <x:row r="230" ht="30" customHeight="1">
      <x:c r="A230" s="128" t="str">
        <x:v>遗物</x:v>
      </x:c>
      <x:c r="B230" s="128" t="str">
        <x:v>R074</x:v>
      </x:c>
      <x:c r="C230" s="128" t="str">
        <x:v>广交朋友</x:v>
      </x:c>
      <x:c r="D230" s="128" t="str">
        <x:v>保留</x:v>
      </x:c>
      <x:c r="E230" s="128" t="str">
        <x:v>广交朋友</x:v>
      </x:c>
      <x:c r="F230" s="128" t="str">
        <x:v>—</x:v>
      </x:c>
      <x:c r="G230" s="128" t="str">
        <x:v>鼓励接触更多不同对象，不检测摇晃强度。</x:v>
      </x:c>
      <x:c r="H230" s="128" t="str">
        <x:v>结算时，本回合接触过至少5个不同实例的存活物品，各本回合分值+3。</x:v>
      </x:c>
      <x:c r="I230" s="128" t="str">
        <x:v>结算时，本回合接触过至少5个不同实例的存活物品，各本回合分值+3。</x:v>
      </x:c>
      <x:c r="J230" s="128" t="str">
        <x:v>V4→V5</x:v>
      </x:c>
    </x:row>
    <x:row r="231" ht="30" customHeight="1">
      <x:c r="A231" s="134" t="str">
        <x:v>遗物</x:v>
      </x:c>
      <x:c r="B231" s="134" t="str">
        <x:v>R075</x:v>
      </x:c>
      <x:c r="C231" s="134" t="str">
        <x:v>熟面孔</x:v>
      </x:c>
      <x:c r="D231" s="134" t="str">
        <x:v>保留</x:v>
      </x:c>
      <x:c r="E231" s="134" t="str">
        <x:v>熟面孔</x:v>
      </x:c>
      <x:c r="F231" s="134" t="str">
        <x:v>—</x:v>
      </x:c>
      <x:c r="G231" s="134" t="str">
        <x:v>鼓励同名物品相遇，与多名称接触路线不同。</x:v>
      </x:c>
      <x:c r="H231" s="134" t="str">
        <x:v>结算时，本回合接触过至少2件与自身同名物品的存活物品，各本回合分值+4。</x:v>
      </x:c>
      <x:c r="I231" s="134" t="str">
        <x:v>结算时，本回合接触过至少2件与自身同名物品的存活物品，各本回合分值+4。</x:v>
      </x:c>
      <x:c r="J231" s="134" t="str">
        <x:v>V4→V5</x:v>
      </x:c>
    </x:row>
    <x:row r="232" ht="30" customHeight="1">
      <x:c r="A232" s="128" t="str">
        <x:v>遗物</x:v>
      </x:c>
      <x:c r="B232" s="128" t="str">
        <x:v>R076</x:v>
      </x:c>
      <x:c r="C232" s="128" t="str">
        <x:v>收官红利</x:v>
      </x:c>
      <x:c r="D232" s="128" t="str">
        <x:v>保留</x:v>
      </x:c>
      <x:c r="E232" s="128" t="str">
        <x:v>收官红利</x:v>
      </x:c>
      <x:c r="F232" s="128" t="str">
        <x:v>—</x:v>
      </x:c>
      <x:c r="G232" s="128" t="str">
        <x:v>奖励摇晃阶段已经获得的直接分，不自我递归计分。</x:v>
      </x:c>
      <x:c r="H232" s="128" t="str">
        <x:v>结算结束时，若冻结时锁定的直接计分池E至少为30，直接计分15。</x:v>
      </x:c>
      <x:c r="I232" s="128" t="str">
        <x:v>结算结束时，若冻结时锁定的直接计分池E至少为30，直接计分15。</x:v>
      </x:c>
      <x:c r="J232" s="128" t="str">
        <x:v>V4→V5</x:v>
      </x:c>
    </x:row>
    <x:row r="233" ht="30" customHeight="1">
      <x:c r="A233" s="134" t="str">
        <x:v>遗物</x:v>
      </x:c>
      <x:c r="B233" s="134" t="str">
        <x:v>R077</x:v>
      </x:c>
      <x:c r="C233" s="134" t="str">
        <x:v>成长档案</x:v>
      </x:c>
      <x:c r="D233" s="134" t="str">
        <x:v>保留</x:v>
      </x:c>
      <x:c r="E233" s="134" t="str">
        <x:v>成长档案</x:v>
      </x:c>
      <x:c r="F233" s="134" t="str">
        <x:v>—</x:v>
      </x:c>
      <x:c r="G233" s="134" t="str">
        <x:v>奖励本回合三件不同物品真正成长，区别于旧照片的存量成长。</x:v>
      </x:c>
      <x:c r="H233" s="134" t="str">
        <x:v>结算结束时，本回合至少3个不同实例成功获得永久基础分成长时，直接计分12。</x:v>
      </x:c>
      <x:c r="I233" s="134" t="str">
        <x:v>结算结束时，本回合至少3个不同实例成功获得永久基础分成长时，直接计分12。</x:v>
      </x:c>
      <x:c r="J233" s="134" t="str">
        <x:v>V4→V5</x:v>
      </x:c>
    </x:row>
    <x:row r="234" ht="38" customHeight="1">
      <x:c r="A234" s="128" t="str">
        <x:v>遗物</x:v>
      </x:c>
      <x:c r="B234" s="128" t="str">
        <x:v>R078</x:v>
      </x:c>
      <x:c r="C234" s="128" t="str">
        <x:v>均衡阵容</x:v>
      </x:c>
      <x:c r="D234" s="128" t="str">
        <x:v>调整</x:v>
      </x:c>
      <x:c r="E234" s="128" t="str">
        <x:v>均衡阵容</x:v>
      </x:c>
      <x:c r="F234" s="128" t="str">
        <x:v>—</x:v>
      </x:c>
      <x:c r="G234" s="128" t="str">
        <x:v>保留多流派构筑目标，删除同时约束每类数量的额外心算。</x:v>
      </x:c>
      <x:c r="H234" s="128" t="str">
        <x:v>结算时，初始抽取且存活的物品覆盖至少6个主流派，且任一主流派不超过4件时，它们各本回合分值+3。</x:v>
      </x:c>
      <x:c r="I234" s="128" t="str">
        <x:v>结算时，初始抽取且存活的物品覆盖至少6个主流派时，这些物品各本回合分值+3。</x:v>
      </x:c>
      <x:c r="J234" s="128" t="str">
        <x:v>V4→V5</x:v>
      </x:c>
    </x:row>
    <x:row r="235" ht="30" customHeight="1">
      <x:c r="A235" s="134" t="str">
        <x:v>遗物</x:v>
      </x:c>
      <x:c r="B235" s="134" t="str">
        <x:v>R079</x:v>
      </x:c>
      <x:c r="C235" s="134" t="str">
        <x:v>邻里公约</x:v>
      </x:c>
      <x:c r="D235" s="134" t="str">
        <x:v>合并</x:v>
      </x:c>
      <x:c r="E235" s="134" t="str">
        <x:v>退出当前目录</x:v>
      </x:c>
      <x:c r="F235" s="134" t="str">
        <x:v>R068 结伴绳结</x:v>
      </x:c>
      <x:c r="G235" s="134" t="str">
        <x:v>复杂的恰好两邻居加不同流派条件与邻接奖励重复；保留直观的结伴绳结。</x:v>
      </x:c>
      <x:c r="H235" s="134" t="str">
        <x:v>结算时，恰好接触2个其他实例、且这两个实例主流派不同的物品，结算倍率+25%。</x:v>
      </x:c>
      <x:c r="I235" s="134" t="str">
        <x:v>从当前总表和奖励池移除；历史ID保留</x:v>
      </x:c>
      <x:c r="J235" s="134" t="str">
        <x:v>V4→V5</x:v>
      </x:c>
    </x:row>
    <x:row r="236" ht="38" customHeight="1">
      <x:c r="A236" s="128" t="str">
        <x:v>遗物</x:v>
      </x:c>
      <x:c r="B236" s="128" t="str">
        <x:v>R080</x:v>
      </x:c>
      <x:c r="C236" s="128" t="str">
        <x:v>接触见证</x:v>
      </x:c>
      <x:c r="D236" s="128" t="str">
        <x:v>保留</x:v>
      </x:c>
      <x:c r="E236" s="128" t="str">
        <x:v>接触见证</x:v>
      </x:c>
      <x:c r="F236" s="128" t="str">
        <x:v>—</x:v>
      </x:c>
      <x:c r="G236" s="128" t="str">
        <x:v>鼓励消耗、生成和增值组合，三类成功事件对应可见反馈。</x:v>
      </x:c>
      <x:c r="H236" s="128" t="str">
        <x:v>结算时，本回合发生过消耗、生成、增值三类成功事件时，所有初始抽取且存活的物品，各本回合分值+4。</x:v>
      </x:c>
      <x:c r="I236" s="128" t="str">
        <x:v>结算时，本回合发生过消耗、生成、增值三类成功事件时，所有初始抽取且存活的物品，各本回合分值+4。</x:v>
      </x:c>
      <x:c r="J236" s="128" t="str">
        <x:v>V4→V5</x:v>
      </x:c>
    </x:row>
    <x:row r="237" ht="30" customHeight="1">
      <x:c r="A237" s="134" t="str">
        <x:v>物品</x:v>
      </x:c>
      <x:c r="B237" s="134" t="str">
        <x:v>I001</x:v>
      </x:c>
      <x:c r="C237" s="134" t="str">
        <x:v>面包</x:v>
      </x:c>
      <x:c r="D237" s="134" t="str">
        <x:v>保留</x:v>
      </x:c>
      <x:c r="E237" s="134" t="str">
        <x:v>面包</x:v>
      </x:c>
      <x:c r="F237" s="134" t="str">
        <x:v>—</x:v>
      </x:c>
      <x:c r="G237" s="134" t="str">
        <x:v>循环C02：食材被烹饪消耗时产生直接收益，区别于保留型食材。</x:v>
      </x:c>
      <x:c r="H237" s="134" t="str">
        <x:v>被烹饪物品消耗时，直接计分4。</x:v>
      </x:c>
      <x:c r="I237" s="134" t="str">
        <x:v>被烹饪物品消耗时，直接计分4。</x:v>
      </x:c>
      <x:c r="J237" s="134" t="str">
        <x:v>V5→V6</x:v>
      </x:c>
    </x:row>
    <x:row r="238" ht="30" customHeight="1">
      <x:c r="A238" s="128" t="str">
        <x:v>物品</x:v>
      </x:c>
      <x:c r="B238" s="128" t="str">
        <x:v>I002</x:v>
      </x:c>
      <x:c r="C238" s="128" t="str">
        <x:v>番茄</x:v>
      </x:c>
      <x:c r="D238" s="128" t="str">
        <x:v>保留</x:v>
      </x:c>
      <x:c r="E238" s="128" t="str">
        <x:v>番茄</x:v>
      </x:c>
      <x:c r="F238" s="128" t="str">
        <x:v>—</x:v>
      </x:c>
      <x:c r="G238" s="128" t="str">
        <x:v>循环C02：番茄果实不是能接受浇水和温室培育的活植物，移除植物标签。</x:v>
      </x:c>
      <x:c r="H238" s="128" t="str">
        <x:v>结算时，与自身接触的其他番茄每有1件，自身本回合分值+3。</x:v>
      </x:c>
      <x:c r="I238" s="128" t="str">
        <x:v>结算时，与自身接触的其他番茄每有1件，自身本回合分值+3。</x:v>
      </x:c>
      <x:c r="J238" s="128" t="str">
        <x:v>V5→V6</x:v>
      </x:c>
    </x:row>
    <x:row r="239" ht="30" customHeight="1">
      <x:c r="A239" s="134" t="str">
        <x:v>物品</x:v>
      </x:c>
      <x:c r="B239" s="134" t="str">
        <x:v>I003</x:v>
      </x:c>
      <x:c r="C239" s="134" t="str">
        <x:v>奶酪</x:v>
      </x:c>
      <x:c r="D239" s="134" t="str">
        <x:v>保留</x:v>
      </x:c>
      <x:c r="E239" s="134" t="str">
        <x:v>奶酪</x:v>
      </x:c>
      <x:c r="F239" s="134" t="str">
        <x:v>—</x:v>
      </x:c>
      <x:c r="G239" s="134" t="str">
        <x:v>循环C02：调味后逐回合成长，保留与加工之间有取舍。</x:v>
      </x:c>
      <x:c r="H239" s="134" t="str">
        <x:v>结算结束时，若存活且本回合被烹饪物品增值过，自身永久基础分+1。</x:v>
      </x:c>
      <x:c r="I239" s="134" t="str">
        <x:v>结算结束时，若存活且本回合被烹饪物品增值过，自身永久基础分+1。</x:v>
      </x:c>
      <x:c r="J239" s="134" t="str">
        <x:v>V5→V6</x:v>
      </x:c>
    </x:row>
    <x:row r="240" ht="30" customHeight="1">
      <x:c r="A240" s="128" t="str">
        <x:v>物品</x:v>
      </x:c>
      <x:c r="B240" s="128" t="str">
        <x:v>I004</x:v>
      </x:c>
      <x:c r="C240" s="128" t="str">
        <x:v>平底锅</x:v>
      </x:c>
      <x:c r="D240" s="128" t="str">
        <x:v>保留</x:v>
      </x:c>
      <x:c r="E240" s="128" t="str">
        <x:v>平底锅</x:v>
      </x:c>
      <x:c r="F240" s="128" t="str">
        <x:v>—</x:v>
      </x:c>
      <x:c r="G240" s="128" t="str">
        <x:v>循环C02：唯一通用食材加工入口，产物热餐不能再次被本配方加工。</x:v>
      </x:c>
      <x:c r="H240" s="128" t="str">
        <x:v>接触食材时，消耗该食材，生成1份热餐。</x:v>
      </x:c>
      <x:c r="I240" s="128" t="str">
        <x:v>接触食材时，消耗该食材，生成1份热餐。</x:v>
      </x:c>
      <x:c r="J240" s="128" t="str">
        <x:v>V5→V6</x:v>
      </x:c>
    </x:row>
    <x:row r="241" ht="30" customHeight="1">
      <x:c r="A241" s="134" t="str">
        <x:v>物品</x:v>
      </x:c>
      <x:c r="B241" s="134" t="str">
        <x:v>I005</x:v>
      </x:c>
      <x:c r="C241" s="134" t="str">
        <x:v>盐罐</x:v>
      </x:c>
      <x:c r="D241" s="134" t="str">
        <x:v>保留</x:v>
      </x:c>
      <x:c r="E241" s="134" t="str">
        <x:v>盐罐</x:v>
      </x:c>
      <x:c r="F241" s="134" t="str">
        <x:v>—</x:v>
      </x:c>
      <x:c r="G241" s="134" t="str">
        <x:v>循环C02：直接接触调味，作为低门槛增值起点。</x:v>
      </x:c>
      <x:c r="H241" s="134" t="str">
        <x:v>接触食物时，使该食物本回合分值+2。</x:v>
      </x:c>
      <x:c r="I241" s="134" t="str">
        <x:v>接触食物时，使该食物本回合分值+2。</x:v>
      </x:c>
      <x:c r="J241" s="134" t="str">
        <x:v>V5→V6</x:v>
      </x:c>
    </x:row>
    <x:row r="242" ht="30" customHeight="1">
      <x:c r="A242" s="128" t="str">
        <x:v>物品</x:v>
      </x:c>
      <x:c r="B242" s="128" t="str">
        <x:v>I006</x:v>
      </x:c>
      <x:c r="C242" s="128" t="str">
        <x:v>餐盘</x:v>
      </x:c>
      <x:c r="D242" s="128" t="str">
        <x:v>保留</x:v>
      </x:c>
      <x:c r="E242" s="128" t="str">
        <x:v>餐盘</x:v>
      </x:c>
      <x:c r="F242" s="128" t="str">
        <x:v>—</x:v>
      </x:c>
      <x:c r="G242" s="128" t="str">
        <x:v>循环C02：冻结时配餐倍率，需要保留多种食物和接触布局。</x:v>
      </x:c>
      <x:c r="H242" s="128" t="str">
        <x:v>结算时，与自身接触的食物至少有2种不同名称时，使这些食物各结算倍率+50%。</x:v>
      </x:c>
      <x:c r="I242" s="128" t="str">
        <x:v>结算时，与自身接触的食物至少有2种不同名称时，使这些食物各结算倍率+50%。</x:v>
      </x:c>
      <x:c r="J242" s="128" t="str">
        <x:v>V5→V6</x:v>
      </x:c>
    </x:row>
    <x:row r="243" ht="30" customHeight="1">
      <x:c r="A243" s="134" t="str">
        <x:v>物品</x:v>
      </x:c>
      <x:c r="B243" s="134" t="str">
        <x:v>I007</x:v>
      </x:c>
      <x:c r="C243" s="134" t="str">
        <x:v>饕餮嘴</x:v>
      </x:c>
      <x:c r="D243" s="134" t="str">
        <x:v>保留</x:v>
      </x:c>
      <x:c r="E243" s="134" t="str">
        <x:v>饕餮嘴</x:v>
      </x:c>
      <x:c r="F243" s="134" t="str">
        <x:v>—</x:v>
      </x:c>
      <x:c r="G243" s="134" t="str">
        <x:v>循环C02：消耗食物换直接收益，与平底锅保留产物不同。</x:v>
      </x:c>
      <x:c r="H243" s="134" t="str">
        <x:v>接触食物时，消耗该食物，直接计分等于其被消耗前的当前分值+8。</x:v>
      </x:c>
      <x:c r="I243" s="134" t="str">
        <x:v>接触食物时，消耗该食物，直接计分等于其被消耗前的当前分值+8。</x:v>
      </x:c>
      <x:c r="J243" s="134" t="str">
        <x:v>V5→V6</x:v>
      </x:c>
    </x:row>
    <x:row r="244" ht="30" customHeight="1">
      <x:c r="A244" s="128" t="str">
        <x:v>物品</x:v>
      </x:c>
      <x:c r="B244" s="128" t="str">
        <x:v>I010</x:v>
      </x:c>
      <x:c r="C244" s="128" t="str">
        <x:v>宴会钟</x:v>
      </x:c>
      <x:c r="D244" s="128" t="str">
        <x:v>保留</x:v>
      </x:c>
      <x:c r="E244" s="128" t="str">
        <x:v>宴会钟</x:v>
      </x:c>
      <x:c r="F244" s="128" t="str">
        <x:v>—</x:v>
      </x:c>
      <x:c r="G244" s="128" t="str">
        <x:v>循环C02：宴席只统计烹饪消耗食材，母鸡或奶牛进食不能代替烹饪过程。</x:v>
      </x:c>
      <x:c r="H244" s="128" t="str">
        <x:v>结算时，本回合被烹饪物品消耗过至少2种不同食材时，所有存活餐食结算倍率+50%。</x:v>
      </x:c>
      <x:c r="I244" s="128" t="str">
        <x:v>结算时，本回合被烹饪物品消耗过至少2种不同食材时，所有存活餐食结算倍率+50%。</x:v>
      </x:c>
      <x:c r="J244" s="128" t="str">
        <x:v>V5→V6</x:v>
      </x:c>
    </x:row>
    <x:row r="245" ht="30" customHeight="1">
      <x:c r="A245" s="134" t="str">
        <x:v>物品</x:v>
      </x:c>
      <x:c r="B245" s="134" t="str">
        <x:v>I011</x:v>
      </x:c>
      <x:c r="C245" s="134" t="str">
        <x:v>雨云</x:v>
      </x:c>
      <x:c r="D245" s="134" t="str">
        <x:v>调整</x:v>
      </x:c>
      <x:c r="E245" s="134" t="str">
        <x:v>雨云</x:v>
      </x:c>
      <x:c r="F245" s="134" t="str">
        <x:v>—</x:v>
      </x:c>
      <x:c r="G245" s="134" t="str">
        <x:v>原1颗水无法兼顾两条基础耗水链；调整为2颗，不无限扩产。</x:v>
      </x:c>
      <x:c r="H245" s="134" t="str">
        <x:v>回合开始入瓶时，生成1颗水珠。</x:v>
      </x:c>
      <x:c r="I245" s="134" t="str">
        <x:v>回合开始入瓶时，生成2颗水珠。</x:v>
      </x:c>
      <x:c r="J245" s="134" t="str">
        <x:v>V5→V6</x:v>
      </x:c>
    </x:row>
    <x:row r="246" ht="38" customHeight="1">
      <x:c r="A246" s="128" t="str">
        <x:v>物品</x:v>
      </x:c>
      <x:c r="B246" s="128" t="str">
        <x:v>I012</x:v>
      </x:c>
      <x:c r="C246" s="128" t="str">
        <x:v>幼苗</x:v>
      </x:c>
      <x:c r="D246" s="128" t="str">
        <x:v>保留</x:v>
      </x:c>
      <x:c r="E246" s="128" t="str">
        <x:v>幼苗</x:v>
      </x:c>
      <x:c r="F246" s="128" t="str">
        <x:v>—</x:v>
      </x:c>
      <x:c r="G246" s="128" t="str">
        <x:v>循环C01/C02/C03/C06：液态水才能浇灌；成熟形态改名花株，避免幼苗变嫩芽的倒退感。</x:v>
      </x:c>
      <x:c r="H246" s="128" t="str">
        <x:v>接触水珠时，永久变形为花株。</x:v>
      </x:c>
      <x:c r="I246" s="128" t="str">
        <x:v>接触水珠时，永久变形为花株。</x:v>
      </x:c>
      <x:c r="J246" s="128" t="str">
        <x:v>V5→V6</x:v>
      </x:c>
    </x:row>
    <x:row r="247" ht="30" customHeight="1">
      <x:c r="A247" s="134" t="str">
        <x:v>物品</x:v>
      </x:c>
      <x:c r="B247" s="134" t="str">
        <x:v>I013</x:v>
      </x:c>
      <x:c r="C247" s="134" t="str">
        <x:v>南瓜苗</x:v>
      </x:c>
      <x:c r="D247" s="134" t="str">
        <x:v>保留</x:v>
      </x:c>
      <x:c r="E247" s="134" t="str">
        <x:v>南瓜苗</x:v>
      </x:c>
      <x:c r="F247" s="134" t="str">
        <x:v>—</x:v>
      </x:c>
      <x:c r="G247" s="134" t="str">
        <x:v>循环C01/C02/C03/C06：明确是仍在生长的南瓜苗，而不是摘下的南瓜吸水成长。</x:v>
      </x:c>
      <x:c r="H247" s="134" t="str">
        <x:v>接触水珠时，消耗该水珠，自身本回合分值+3。</x:v>
      </x:c>
      <x:c r="I247" s="134" t="str">
        <x:v>接触水珠时，消耗该水珠，自身本回合分值+3。</x:v>
      </x:c>
      <x:c r="J247" s="134" t="str">
        <x:v>V5→V6</x:v>
      </x:c>
    </x:row>
    <x:row r="248" ht="38" customHeight="1">
      <x:c r="A248" s="128" t="str">
        <x:v>物品</x:v>
      </x:c>
      <x:c r="B248" s="128" t="str">
        <x:v>I014</x:v>
      </x:c>
      <x:c r="C248" s="128" t="str">
        <x:v>葡萄藤</x:v>
      </x:c>
      <x:c r="D248" s="128" t="str">
        <x:v>保留</x:v>
      </x:c>
      <x:c r="E248" s="128" t="str">
        <x:v>葡萄藤</x:v>
      </x:c>
      <x:c r="F248" s="128" t="str">
        <x:v>—</x:v>
      </x:c>
      <x:c r="G248" s="128" t="str">
        <x:v>循环C01/C02/C03/C06：果实由浇灌产生，不因碰到任意植物而凭空长出；与果树区分为多产量。</x:v>
      </x:c>
      <x:c r="H248" s="128" t="str">
        <x:v>接触水珠时，消耗该水珠，生成2串葡萄。</x:v>
      </x:c>
      <x:c r="I248" s="128" t="str">
        <x:v>接触水珠时，消耗该水珠，生成2串葡萄。</x:v>
      </x:c>
      <x:c r="J248" s="128" t="str">
        <x:v>V5→V6</x:v>
      </x:c>
    </x:row>
    <x:row r="249" ht="38" customHeight="1">
      <x:c r="A249" s="134" t="str">
        <x:v>物品</x:v>
      </x:c>
      <x:c r="B249" s="134" t="str">
        <x:v>I015</x:v>
      </x:c>
      <x:c r="C249" s="134" t="str">
        <x:v>果树</x:v>
      </x:c>
      <x:c r="D249" s="134" t="str">
        <x:v>保留</x:v>
      </x:c>
      <x:c r="E249" s="134" t="str">
        <x:v>果树</x:v>
      </x:c>
      <x:c r="F249" s="134" t="str">
        <x:v>—</x:v>
      </x:c>
      <x:c r="G249" s="134" t="str">
        <x:v>循环C01/C02/C03/C06：改为浇灌结果后生长，不再因自己产出的苹果被消耗才成长。</x:v>
      </x:c>
      <x:c r="H249" s="134" t="str">
        <x:v>接触水珠时，消耗该水珠，生成1颗苹果。结算结束时，若自身存活且本回合成功生成过苹果，自身永久基础分+1。</x:v>
      </x:c>
      <x:c r="I249" s="134" t="str">
        <x:v>接触水珠时，消耗该水珠，生成1颗苹果。结算结束时，若自身存活且本回合成功生成过苹果，自身永久基础分+1。</x:v>
      </x:c>
      <x:c r="J249" s="134" t="str">
        <x:v>V5→V6</x:v>
      </x:c>
    </x:row>
    <x:row r="250" ht="30" customHeight="1">
      <x:c r="A250" s="128" t="str">
        <x:v>物品</x:v>
      </x:c>
      <x:c r="B250" s="128" t="str">
        <x:v>I016</x:v>
      </x:c>
      <x:c r="C250" s="128" t="str">
        <x:v>三叶草</x:v>
      </x:c>
      <x:c r="D250" s="128" t="str">
        <x:v>保留</x:v>
      </x:c>
      <x:c r="E250" s="128" t="str">
        <x:v>三叶草</x:v>
      </x:c>
      <x:c r="F250" s="128" t="str">
        <x:v>—</x:v>
      </x:c>
      <x:c r="G250" s="128" t="str">
        <x:v>循环C01/C02/C03/C06：保留三叶草成簇玩法，补充开花标签作为明确授粉目标。</x:v>
      </x:c>
      <x:c r="H250" s="128" t="str">
        <x:v>结算时，若自身所在的植物接触组中有至少3件三叶草，自身本回合分值+6。</x:v>
      </x:c>
      <x:c r="I250" s="128" t="str">
        <x:v>结算时，若自身所在的植物接触组中有至少3件三叶草，自身本回合分值+6。</x:v>
      </x:c>
      <x:c r="J250" s="128" t="str">
        <x:v>V5→V6</x:v>
      </x:c>
    </x:row>
    <x:row r="251" ht="38" customHeight="1">
      <x:c r="A251" s="134" t="str">
        <x:v>物品</x:v>
      </x:c>
      <x:c r="B251" s="134" t="str">
        <x:v>I018</x:v>
      </x:c>
      <x:c r="C251" s="134" t="str">
        <x:v>蜜蜂</x:v>
      </x:c>
      <x:c r="D251" s="134" t="str">
        <x:v>保留</x:v>
      </x:c>
      <x:c r="E251" s="134" t="str">
        <x:v>蜜蜂</x:v>
      </x:c>
      <x:c r="F251" s="134" t="str">
        <x:v>—</x:v>
      </x:c>
      <x:c r="G251" s="134" t="str">
        <x:v>循环C01/C02/C03/C06：授粉与蜂蜜只来自开花植物，不再对谷物、果实或任意植物生效。</x:v>
      </x:c>
      <x:c r="H251" s="134" t="str">
        <x:v>接触开花植物时，该植物与自身本回合分值各+1。本回合累计接触3株不同的开花植物后，生成1份蜂蜜。</x:v>
      </x:c>
      <x:c r="I251" s="134" t="str">
        <x:v>接触开花植物时，该植物与自身本回合分值各+1。本回合累计接触3株不同的开花植物后，生成1份蜂蜜。</x:v>
      </x:c>
      <x:c r="J251" s="134" t="str">
        <x:v>V5→V6</x:v>
      </x:c>
    </x:row>
    <x:row r="252" ht="30" customHeight="1">
      <x:c r="A252" s="128" t="str">
        <x:v>物品</x:v>
      </x:c>
      <x:c r="B252" s="128" t="str">
        <x:v>I019</x:v>
      </x:c>
      <x:c r="C252" s="128" t="str">
        <x:v>温室罩</x:v>
      </x:c>
      <x:c r="D252" s="128" t="str">
        <x:v>保留</x:v>
      </x:c>
      <x:c r="E252" s="128" t="str">
        <x:v>温室罩</x:v>
      </x:c>
      <x:c r="F252" s="128" t="str">
        <x:v>—</x:v>
      </x:c>
      <x:c r="G252" s="128" t="str">
        <x:v>循环C01/C02/C03/C06：支持两株植物结算倍率，与花盆的固定加分不同。</x:v>
      </x:c>
      <x:c r="H252" s="128" t="str">
        <x:v>结算时，与自身接触的植物各结算倍率+50%。</x:v>
      </x:c>
      <x:c r="I252" s="128" t="str">
        <x:v>结算时，与自身接触的植物各结算倍率+50%。</x:v>
      </x:c>
      <x:c r="J252" s="128" t="str">
        <x:v>V5→V6</x:v>
      </x:c>
    </x:row>
    <x:row r="253" ht="38" customHeight="1">
      <x:c r="A253" s="134" t="str">
        <x:v>物品</x:v>
      </x:c>
      <x:c r="B253" s="134" t="str">
        <x:v>I020</x:v>
      </x:c>
      <x:c r="C253" s="134" t="str">
        <x:v>花盆</x:v>
      </x:c>
      <x:c r="D253" s="134" t="str">
        <x:v>保留</x:v>
      </x:c>
      <x:c r="E253" s="134" t="str">
        <x:v>花盆</x:v>
      </x:c>
      <x:c r="F253" s="134" t="str">
        <x:v>—</x:v>
      </x:c>
      <x:c r="G253" s="134" t="str">
        <x:v>循环C01/C02/C03/C06：单株培育固定加分，提供集中与分散布局取舍。</x:v>
      </x:c>
      <x:c r="H253" s="134" t="str">
        <x:v>结算时，恰好接触1件植物时，该植物本回合分值+6；接触2件以上时，这些植物各本回合分值+2。</x:v>
      </x:c>
      <x:c r="I253" s="134" t="str">
        <x:v>结算时，恰好接触1件植物时，该植物本回合分值+6；接触2件以上时，这些植物各本回合分值+2。</x:v>
      </x:c>
      <x:c r="J253" s="134" t="str">
        <x:v>V5→V6</x:v>
      </x:c>
    </x:row>
    <x:row r="254" ht="30" customHeight="1">
      <x:c r="A254" s="128" t="str">
        <x:v>物品</x:v>
      </x:c>
      <x:c r="B254" s="128" t="str">
        <x:v>I021</x:v>
      </x:c>
      <x:c r="C254" s="128" t="str">
        <x:v>鸟巢</x:v>
      </x:c>
      <x:c r="D254" s="128" t="str">
        <x:v>保留</x:v>
      </x:c>
      <x:c r="E254" s="128" t="str">
        <x:v>鸟巢</x:v>
      </x:c>
      <x:c r="F254" s="128" t="str">
        <x:v>—</x:v>
      </x:c>
      <x:c r="G254" s="128" t="str">
        <x:v>循环C03/C04/C05：母鸡与鸟巢明确配对生蛋，不触发其他动物。</x:v>
      </x:c>
      <x:c r="H254" s="128" t="str">
        <x:v>接触母鸡时，生成1颗蛋。</x:v>
      </x:c>
      <x:c r="I254" s="128" t="str">
        <x:v>接触母鸡时，生成1颗蛋。</x:v>
      </x:c>
      <x:c r="J254" s="128" t="str">
        <x:v>V5→V6</x:v>
      </x:c>
    </x:row>
    <x:row r="255" ht="30" customHeight="1">
      <x:c r="A255" s="134" t="str">
        <x:v>物品</x:v>
      </x:c>
      <x:c r="B255" s="134" t="str">
        <x:v>I022</x:v>
      </x:c>
      <x:c r="C255" s="134" t="str">
        <x:v>母鸡</x:v>
      </x:c>
      <x:c r="D255" s="134" t="str">
        <x:v>保留</x:v>
      </x:c>
      <x:c r="E255" s="134" t="str">
        <x:v>母鸡</x:v>
      </x:c>
      <x:c r="F255" s="134" t="str">
        <x:v>—</x:v>
      </x:c>
      <x:c r="G255" s="134" t="str">
        <x:v>循环C03/C04/C05：吃谷物生成蛋，消耗与产量清楚。</x:v>
      </x:c>
      <x:c r="H255" s="134" t="str">
        <x:v>接触谷物时，消耗该谷物，生成2颗蛋。</x:v>
      </x:c>
      <x:c r="I255" s="134" t="str">
        <x:v>接触谷物时，消耗该谷物，生成2颗蛋。</x:v>
      </x:c>
      <x:c r="J255" s="134" t="str">
        <x:v>V5→V6</x:v>
      </x:c>
    </x:row>
    <x:row r="256" ht="30" customHeight="1">
      <x:c r="A256" s="128" t="str">
        <x:v>物品</x:v>
      </x:c>
      <x:c r="B256" s="128" t="str">
        <x:v>I023</x:v>
      </x:c>
      <x:c r="C256" s="128" t="str">
        <x:v>谷穗</x:v>
      </x:c>
      <x:c r="D256" s="128" t="str">
        <x:v>调整</x:v>
      </x:c>
      <x:c r="E256" s="128" t="str">
        <x:v>谷穗</x:v>
      </x:c>
      <x:c r="F256" s="128" t="str">
        <x:v>—</x:v>
      </x:c>
      <x:c r="G256" s="128" t="str">
        <x:v>新增麦田作为持续谷物供给，三选一仅是另一种获取方式。</x:v>
      </x:c>
      <x:c r="H256" s="128" t="str">
        <x:v>被母鸡或奶牛消耗时，使该动物本回合分值+3。</x:v>
      </x:c>
      <x:c r="I256" s="128" t="str">
        <x:v>被母鸡或奶牛消耗时，使该动物本回合分值+3。</x:v>
      </x:c>
      <x:c r="J256" s="128" t="str">
        <x:v>V5→V6</x:v>
      </x:c>
    </x:row>
    <x:row r="257" ht="30" customHeight="1">
      <x:c r="A257" s="134" t="str">
        <x:v>物品</x:v>
      </x:c>
      <x:c r="B257" s="134" t="str">
        <x:v>I024</x:v>
      </x:c>
      <x:c r="C257" s="134" t="str">
        <x:v>奶牛</x:v>
      </x:c>
      <x:c r="D257" s="134" t="str">
        <x:v>保留</x:v>
      </x:c>
      <x:c r="E257" s="134" t="str">
        <x:v>奶牛</x:v>
      </x:c>
      <x:c r="F257" s="134" t="str">
        <x:v>—</x:v>
      </x:c>
      <x:c r="G257" s="134" t="str">
        <x:v>循环C03/C04/C05：吃谷物生成牛奶，与母鸡产物不同且支持牧场多样性。</x:v>
      </x:c>
      <x:c r="H257" s="134" t="str">
        <x:v>接触谷物时，消耗该谷物，生成1瓶牛奶。</x:v>
      </x:c>
      <x:c r="I257" s="134" t="str">
        <x:v>接触谷物时，消耗该谷物，生成1瓶牛奶。</x:v>
      </x:c>
      <x:c r="J257" s="134" t="str">
        <x:v>V5→V6</x:v>
      </x:c>
    </x:row>
    <x:row r="258" ht="30" customHeight="1">
      <x:c r="A258" s="128" t="str">
        <x:v>物品</x:v>
      </x:c>
      <x:c r="B258" s="128" t="str">
        <x:v>I025</x:v>
      </x:c>
      <x:c r="C258" s="128" t="str">
        <x:v>绵羊</x:v>
      </x:c>
      <x:c r="D258" s="128" t="str">
        <x:v>保留</x:v>
      </x:c>
      <x:c r="E258" s="128" t="str">
        <x:v>绵羊</x:v>
      </x:c>
      <x:c r="F258" s="128" t="str">
        <x:v>—</x:v>
      </x:c>
      <x:c r="G258" s="128" t="str">
        <x:v>循环C03/C04/C05：只与剪毛剪反应生成羊毛，不匹配工具大类。</x:v>
      </x:c>
      <x:c r="H258" s="128" t="str">
        <x:v>接触剪毛剪时，生成1团羊毛。</x:v>
      </x:c>
      <x:c r="I258" s="128" t="str">
        <x:v>接触剪毛剪时，生成1团羊毛。</x:v>
      </x:c>
      <x:c r="J258" s="128" t="str">
        <x:v>V5→V6</x:v>
      </x:c>
    </x:row>
    <x:row r="259" ht="30" customHeight="1">
      <x:c r="A259" s="134" t="str">
        <x:v>物品</x:v>
      </x:c>
      <x:c r="B259" s="134" t="str">
        <x:v>I026</x:v>
      </x:c>
      <x:c r="C259" s="134" t="str">
        <x:v>毛虫</x:v>
      </x:c>
      <x:c r="D259" s="134" t="str">
        <x:v>保留</x:v>
      </x:c>
      <x:c r="E259" s="134" t="str">
        <x:v>毛虫</x:v>
      </x:c>
      <x:c r="F259" s="134" t="str">
        <x:v>—</x:v>
      </x:c>
      <x:c r="G259" s="134" t="str">
        <x:v>循环C03/C04/C05：去掉接触任何工具就停止成熟的无依据禁忌。</x:v>
      </x:c>
      <x:c r="H259" s="134" t="str">
        <x:v>结算结束时，若自身存活，自身成熟进度+1；成熟进度达到3时，永久变形为彩翼蝶。</x:v>
      </x:c>
      <x:c r="I259" s="134" t="str">
        <x:v>结算结束时，若自身存活，自身成熟进度+1；成熟进度达到3时，永久变形为彩翼蝶。</x:v>
      </x:c>
      <x:c r="J259" s="134" t="str">
        <x:v>V5→V6</x:v>
      </x:c>
    </x:row>
    <x:row r="260" ht="30" customHeight="1">
      <x:c r="A260" s="128" t="str">
        <x:v>物品</x:v>
      </x:c>
      <x:c r="B260" s="128" t="str">
        <x:v>I027</x:v>
      </x:c>
      <x:c r="C260" s="128" t="str">
        <x:v>孵化器</x:v>
      </x:c>
      <x:c r="D260" s="128" t="str">
        <x:v>移除</x:v>
      </x:c>
      <x:c r="E260" s="128" t="str">
        <x:v>退出目录</x:v>
      </x:c>
      <x:c r="F260" s="128" t="str">
        <x:v>P008 蛋／P029 双黄蛋</x:v>
      </x:c>
      <x:c r="G260" s="128" t="str">
        <x:v>改为物品自身存活结算3次孵化，无需孵化器与火源。</x:v>
      </x:c>
      <x:c r="H260" s="128" t="str">
        <x:v>接触火元素时，进入加热状态。加热后接触蛋时，消耗该蛋，生成1只雏鸟。</x:v>
      </x:c>
      <x:c r="I260" s="128" t="str">
        <x:v>从当前目录和奖励池删除</x:v>
      </x:c>
      <x:c r="J260" s="128" t="str">
        <x:v>V5→V6</x:v>
      </x:c>
    </x:row>
    <x:row r="261" ht="38" customHeight="1">
      <x:c r="A261" s="134" t="str">
        <x:v>物品</x:v>
      </x:c>
      <x:c r="B261" s="134" t="str">
        <x:v>I029</x:v>
      </x:c>
      <x:c r="C261" s="134" t="str">
        <x:v>蛋托</x:v>
      </x:c>
      <x:c r="D261" s="134" t="str">
        <x:v>保留</x:v>
      </x:c>
      <x:c r="E261" s="134" t="str">
        <x:v>蛋托</x:v>
      </x:c>
      <x:c r="F261" s="134" t="str">
        <x:v>—</x:v>
      </x:c>
      <x:c r="G261" s="134" t="str">
        <x:v>循环C03/C04/C05：蛋的专用物理支撑物，明确包含双黄蛋。</x:v>
      </x:c>
      <x:c r="H261" s="134" t="str">
        <x:v>结算时，与自身接触的蛋各本回合分值+3；同时与至少2颗蛋接触时，自身本回合分值再+4。</x:v>
      </x:c>
      <x:c r="I261" s="134" t="str">
        <x:v>结算时，与自身接触的蛋各本回合分值+3；同时与至少2颗蛋接触时，自身本回合分值再+4。</x:v>
      </x:c>
      <x:c r="J261" s="134" t="str">
        <x:v>V5→V6</x:v>
      </x:c>
    </x:row>
    <x:row r="262" ht="38" customHeight="1">
      <x:c r="A262" s="128" t="str">
        <x:v>物品</x:v>
      </x:c>
      <x:c r="B262" s="128" t="str">
        <x:v>I030</x:v>
      </x:c>
      <x:c r="C262" s="128" t="str">
        <x:v>牧场牌</x:v>
      </x:c>
      <x:c r="D262" s="128" t="str">
        <x:v>调整</x:v>
      </x:c>
      <x:c r="E262" s="128" t="str">
        <x:v>牧场牌</x:v>
      </x:c>
      <x:c r="F262" s="128" t="str">
        <x:v>—</x:v>
      </x:c>
      <x:c r="G262" s="128" t="str">
        <x:v>动物名称同步为雏鸡；孵化不是正常生成，不计入产出类型。</x:v>
      </x:c>
      <x:c r="H262" s="128" t="str">
        <x:v>结算时，本回合每正常生成过1类牧场产物，所有存活母鸡、奶牛、绵羊与雏鸟的本回合分值+2。</x:v>
      </x:c>
      <x:c r="I262" s="128" t="str">
        <x:v>结算时，本回合每正常生成过1类牧场产物，所有存活母鸡、奶牛、绵羊与雏鸡的本回合分值+2。</x:v>
      </x:c>
      <x:c r="J262" s="128" t="str">
        <x:v>V5→V6</x:v>
      </x:c>
    </x:row>
    <x:row r="263" ht="30" customHeight="1">
      <x:c r="A263" s="134" t="str">
        <x:v>物品</x:v>
      </x:c>
      <x:c r="B263" s="134" t="str">
        <x:v>I031</x:v>
      </x:c>
      <x:c r="C263" s="134" t="str">
        <x:v>原矿</x:v>
      </x:c>
      <x:c r="D263" s="134" t="str">
        <x:v>保留</x:v>
      </x:c>
      <x:c r="E263" s="134" t="str">
        <x:v>原矿</x:v>
      </x:c>
      <x:c r="F263" s="134" t="str">
        <x:v>—</x:v>
      </x:c>
      <x:c r="G263" s="134" t="str">
        <x:v>循环C07/C08：普通石头改为含有可提取成分的原矿，支持后续筛矿链。</x:v>
      </x:c>
      <x:c r="H263" s="134" t="str">
        <x:v>被矿工镐消耗时，直接计分3。</x:v>
      </x:c>
      <x:c r="I263" s="134" t="str">
        <x:v>被矿工镐消耗时，直接计分3。</x:v>
      </x:c>
      <x:c r="J263" s="134" t="str">
        <x:v>V5→V6</x:v>
      </x:c>
    </x:row>
    <x:row r="264" ht="30" customHeight="1">
      <x:c r="A264" s="128" t="str">
        <x:v>物品</x:v>
      </x:c>
      <x:c r="B264" s="128" t="str">
        <x:v>I033</x:v>
      </x:c>
      <x:c r="C264" s="128" t="str">
        <x:v>铁矿块</x:v>
      </x:c>
      <x:c r="D264" s="128" t="str">
        <x:v>调整</x:v>
      </x:c>
      <x:c r="E264" s="128" t="str">
        <x:v>铁矿块</x:v>
      </x:c>
      <x:c r="F264" s="128" t="str">
        <x:v>—</x:v>
      </x:c>
      <x:c r="G264" s="128" t="str">
        <x:v>铁矿增加可再生但低频的开采来源，仍可直接选取。</x:v>
      </x:c>
      <x:c r="H264" s="128" t="str">
        <x:v>被熔炉消耗时，使该熔炉本回合分值+3。</x:v>
      </x:c>
      <x:c r="I264" s="128" t="str">
        <x:v>被熔炉消耗时，使该熔炉本回合分值+3。</x:v>
      </x:c>
      <x:c r="J264" s="128" t="str">
        <x:v>V5→V6</x:v>
      </x:c>
    </x:row>
    <x:row r="265" ht="30" customHeight="1">
      <x:c r="A265" s="134" t="str">
        <x:v>物品</x:v>
      </x:c>
      <x:c r="B265" s="134" t="str">
        <x:v>I034</x:v>
      </x:c>
      <x:c r="C265" s="134" t="str">
        <x:v>宝石原胚</x:v>
      </x:c>
      <x:c r="D265" s="134" t="str">
        <x:v>调整</x:v>
      </x:c>
      <x:c r="E265" s="134" t="str">
        <x:v>宝石原胚</x:v>
      </x:c>
      <x:c r="F265" s="134" t="str">
        <x:v>—</x:v>
      </x:c>
      <x:c r="G265" s="134" t="str">
        <x:v>宝石原胚增加可再生但低频的开采来源，仍可直接选取。</x:v>
      </x:c>
      <x:c r="H265" s="134" t="str">
        <x:v>可被宝石切割器消耗并加工为晶屑。</x:v>
      </x:c>
      <x:c r="I265" s="134" t="str">
        <x:v>可被宝石切割器消耗并加工为晶屑。</x:v>
      </x:c>
      <x:c r="J265" s="134" t="str">
        <x:v>V5→V6</x:v>
      </x:c>
    </x:row>
    <x:row r="266" ht="38" customHeight="1">
      <x:c r="A266" s="128" t="str">
        <x:v>物品</x:v>
      </x:c>
      <x:c r="B266" s="128" t="str">
        <x:v>I035</x:v>
      </x:c>
      <x:c r="C266" s="128" t="str">
        <x:v>岩脉</x:v>
      </x:c>
      <x:c r="D266" s="128" t="str">
        <x:v>调整</x:v>
      </x:c>
      <x:c r="E266" s="128" t="str">
        <x:v>岩脉</x:v>
      </x:c>
      <x:c r="F266" s="128" t="str">
        <x:v>—</x:v>
      </x:c>
      <x:c r="G266" s="128" t="str">
        <x:v>保留原矿稳定供给，增添低概率铁矿和原胚支线，避免熔炉与切割器完全依赖奖励补料。</x:v>
      </x:c>
      <x:c r="H266" s="128" t="str">
        <x:v>接触矿工镐时，生成1块原矿。</x:v>
      </x:c>
      <x:c r="I266" s="128" t="str">
        <x:v>接触矿工镐时，生成1块原矿；同时有20%概率生成1块铁矿块、10%概率生成1块宝石原胚，二者不会同时生成。</x:v>
      </x:c>
      <x:c r="J266" s="128" t="str">
        <x:v>V5→V6</x:v>
      </x:c>
    </x:row>
    <x:row r="267" ht="30" customHeight="1">
      <x:c r="A267" s="134" t="str">
        <x:v>物品</x:v>
      </x:c>
      <x:c r="B267" s="134" t="str">
        <x:v>I036</x:v>
      </x:c>
      <x:c r="C267" s="134" t="str">
        <x:v>矿工镐</x:v>
      </x:c>
      <x:c r="D267" s="134" t="str">
        <x:v>保留</x:v>
      </x:c>
      <x:c r="E267" s="134" t="str">
        <x:v>矿工镐</x:v>
      </x:c>
      <x:c r="F267" s="134" t="str">
        <x:v>—</x:v>
      </x:c>
      <x:c r="G267" s="134" t="str">
        <x:v>循环C07/C08：采矿只加工原矿，避免把宝石原胚和铁矿无差别敲成石头。</x:v>
      </x:c>
      <x:c r="H267" s="134" t="str">
        <x:v>接触原矿时，消耗该原矿，生成2份矿砂。</x:v>
      </x:c>
      <x:c r="I267" s="134" t="str">
        <x:v>接触原矿时，消耗该原矿，生成2份矿砂。</x:v>
      </x:c>
      <x:c r="J267" s="134" t="str">
        <x:v>V5→V6</x:v>
      </x:c>
    </x:row>
    <x:row r="268" ht="30" customHeight="1">
      <x:c r="A268" s="128" t="str">
        <x:v>物品</x:v>
      </x:c>
      <x:c r="B268" s="128" t="str">
        <x:v>I037</x:v>
      </x:c>
      <x:c r="C268" s="128" t="str">
        <x:v>筛矿机</x:v>
      </x:c>
      <x:c r="D268" s="128" t="str">
        <x:v>保留</x:v>
      </x:c>
      <x:c r="E268" s="128" t="str">
        <x:v>筛矿机</x:v>
      </x:c>
      <x:c r="F268" s="128" t="str">
        <x:v>—</x:v>
      </x:c>
      <x:c r="G268" s="128" t="str">
        <x:v>循环C07/C08：筛矿提取矿砂中的晶屑或金砂，比碎石变宝石更符合直觉。</x:v>
      </x:c>
      <x:c r="H268" s="128" t="str">
        <x:v>接触矿砂时，消耗该矿砂，随机生成1颗晶屑或1份金砂；概率分别为75%和25%。</x:v>
      </x:c>
      <x:c r="I268" s="128" t="str">
        <x:v>接触矿砂时，消耗该矿砂，随机生成1颗晶屑或1份金砂；概率分别为75%和25%。</x:v>
      </x:c>
      <x:c r="J268" s="128" t="str">
        <x:v>V5→V6</x:v>
      </x:c>
    </x:row>
    <x:row r="269" ht="38" customHeight="1">
      <x:c r="A269" s="134" t="str">
        <x:v>物品</x:v>
      </x:c>
      <x:c r="B269" s="134" t="str">
        <x:v>I038</x:v>
      </x:c>
      <x:c r="C269" s="134" t="str">
        <x:v>熔炉</x:v>
      </x:c>
      <x:c r="D269" s="134" t="str">
        <x:v>保留</x:v>
      </x:c>
      <x:c r="E269" s="134" t="str">
        <x:v>熔炉</x:v>
      </x:c>
      <x:c r="F269" s="134" t="str">
        <x:v>—</x:v>
      </x:c>
      <x:c r="G269" s="134" t="str">
        <x:v>循环C07/C08：熔炉只冶炼铁矿，产物明确为铁锭，不能把岩石和金砂熔成同一种金属。</x:v>
      </x:c>
      <x:c r="H269" s="134" t="str">
        <x:v>接触火元素时，进入点燃状态。点燃后接触铁矿块时，消耗该铁矿块，生成1块铁锭。</x:v>
      </x:c>
      <x:c r="I269" s="134" t="str">
        <x:v>接触火元素时，进入点燃状态。点燃后接触铁矿块时，消耗该铁矿块，生成1块铁锭。</x:v>
      </x:c>
      <x:c r="J269" s="134" t="str">
        <x:v>V5→V6</x:v>
      </x:c>
    </x:row>
    <x:row r="270" ht="38" customHeight="1">
      <x:c r="A270" s="128" t="str">
        <x:v>物品</x:v>
      </x:c>
      <x:c r="B270" s="128" t="str">
        <x:v>I040</x:v>
      </x:c>
      <x:c r="C270" s="128" t="str">
        <x:v>宝石切割器</x:v>
      </x:c>
      <x:c r="D270" s="128" t="str">
        <x:v>保留</x:v>
      </x:c>
      <x:c r="E270" s="128" t="str">
        <x:v>宝石切割器</x:v>
      </x:c>
      <x:c r="F270" s="128" t="str">
        <x:v>—</x:v>
      </x:c>
      <x:c r="G270" s="128" t="str">
        <x:v>循环C07/C08：鉴定师重做为宝石切割器，承担唯一的原胚加工入口；多种宝石倍率交给遗物。</x:v>
      </x:c>
      <x:c r="H270" s="128" t="str">
        <x:v>接触宝石原胚时，消耗该宝石原胚，生成1颗基础分为8的晶屑。</x:v>
      </x:c>
      <x:c r="I270" s="128" t="str">
        <x:v>接触宝石原胚时，消耗该宝石原胚，生成1颗基础分为8的晶屑。</x:v>
      </x:c>
      <x:c r="J270" s="128" t="str">
        <x:v>V5→V6</x:v>
      </x:c>
    </x:row>
    <x:row r="271" ht="30" customHeight="1">
      <x:c r="A271" s="134" t="str">
        <x:v>物品</x:v>
      </x:c>
      <x:c r="B271" s="134" t="str">
        <x:v>I041</x:v>
      </x:c>
      <x:c r="C271" s="134" t="str">
        <x:v>火种</x:v>
      </x:c>
      <x:c r="D271" s="134" t="str">
        <x:v>调整</x:v>
      </x:c>
      <x:c r="E271" s="134" t="str">
        <x:v>火种</x:v>
      </x:c>
      <x:c r="F271" s="134" t="str">
        <x:v>—</x:v>
      </x:c>
      <x:c r="G271" s="134" t="str">
        <x:v>删除孵化器后，火源不再参与孵蛋。</x:v>
      </x:c>
      <x:c r="H271" s="134" t="str">
        <x:v>可点亮蜡烛、加热孵化器、点燃熔炉与蒸汽锅炉，也可融化冰块或引燃鞭炮。</x:v>
      </x:c>
      <x:c r="I271" s="134" t="str">
        <x:v>可点亮蜡烛、点燃熔炉与蒸汽锅炉，也可融化冰块或引燃鞭炮。</x:v>
      </x:c>
      <x:c r="J271" s="134" t="str">
        <x:v>V5→V6</x:v>
      </x:c>
    </x:row>
    <x:row r="272" ht="30" customHeight="1">
      <x:c r="A272" s="128" t="str">
        <x:v>物品</x:v>
      </x:c>
      <x:c r="B272" s="128" t="str">
        <x:v>I042</x:v>
      </x:c>
      <x:c r="C272" s="128" t="str">
        <x:v>冰块</x:v>
      </x:c>
      <x:c r="D272" s="128" t="str">
        <x:v>保留</x:v>
      </x:c>
      <x:c r="E272" s="128" t="str">
        <x:v>冰块</x:v>
      </x:c>
      <x:c r="F272" s="128" t="str">
        <x:v>—</x:v>
      </x:c>
      <x:c r="G272" s="128" t="str">
        <x:v>循环C01/C09/C10：冰遇火消耗并生成液态水，物态变化直观。</x:v>
      </x:c>
      <x:c r="H272" s="128" t="str">
        <x:v>接触火元素时，消耗自身，生成2颗水珠。</x:v>
      </x:c>
      <x:c r="I272" s="128" t="str">
        <x:v>接触火元素时，消耗自身，生成2颗水珠。</x:v>
      </x:c>
      <x:c r="J272" s="128" t="str">
        <x:v>V5→V6</x:v>
      </x:c>
    </x:row>
    <x:row r="273" ht="38" customHeight="1">
      <x:c r="A273" s="134" t="str">
        <x:v>物品</x:v>
      </x:c>
      <x:c r="B273" s="134" t="str">
        <x:v>I044</x:v>
      </x:c>
      <x:c r="C273" s="134" t="str">
        <x:v>蜡烛</x:v>
      </x:c>
      <x:c r="D273" s="134" t="str">
        <x:v>保留</x:v>
      </x:c>
      <x:c r="E273" s="134" t="str">
        <x:v>蜡烛</x:v>
      </x:c>
      <x:c r="F273" s="134" t="str">
        <x:v>—</x:v>
      </x:c>
      <x:c r="G273" s="134" t="str">
        <x:v>循环C01/C09/C10：蜡烛只有点亮后才成为火源，状态与可触发的反应一致。</x:v>
      </x:c>
      <x:c r="H273" s="134" t="str">
        <x:v>接触火元素时，进入点亮状态，并在本回合获得火元素标签。结算时，若自身已点亮，使与自身接触的非元素流派物品各结算倍率+50%。</x:v>
      </x:c>
      <x:c r="I273" s="134" t="str">
        <x:v>接触火元素时，进入点亮状态，并在本回合获得火元素标签。结算时，若自身已点亮，使与自身接触的非元素流派物品各结算倍率+50%。</x:v>
      </x:c>
      <x:c r="J273" s="134" t="str">
        <x:v>V5→V6</x:v>
      </x:c>
    </x:row>
    <x:row r="274" ht="30" customHeight="1">
      <x:c r="A274" s="128" t="str">
        <x:v>物品</x:v>
      </x:c>
      <x:c r="B274" s="128" t="str">
        <x:v>I045</x:v>
      </x:c>
      <x:c r="C274" s="128" t="str">
        <x:v>小火山</x:v>
      </x:c>
      <x:c r="D274" s="128" t="str">
        <x:v>保留</x:v>
      </x:c>
      <x:c r="E274" s="128" t="str">
        <x:v>小火山</x:v>
      </x:c>
      <x:c r="F274" s="128" t="str">
        <x:v>—</x:v>
      </x:c>
      <x:c r="G274" s="128" t="str">
        <x:v>循环C01/C09/C10：火山只将原矿熔化为短期火星，不吞食任意宝石或金属矿。</x:v>
      </x:c>
      <x:c r="H274" s="128" t="str">
        <x:v>接触原矿时，消耗该原矿，临时生成2颗火星，并直接计分该原矿当前分值+4。</x:v>
      </x:c>
      <x:c r="I274" s="128" t="str">
        <x:v>接触原矿时，消耗该原矿，临时生成2颗火星，并直接计分该原矿当前分值+4。</x:v>
      </x:c>
      <x:c r="J274" s="128" t="str">
        <x:v>V5→V6</x:v>
      </x:c>
    </x:row>
    <x:row r="275" ht="30" customHeight="1">
      <x:c r="A275" s="134" t="str">
        <x:v>物品</x:v>
      </x:c>
      <x:c r="B275" s="134" t="str">
        <x:v>I048</x:v>
      </x:c>
      <x:c r="C275" s="134" t="str">
        <x:v>风箱</x:v>
      </x:c>
      <x:c r="D275" s="134" t="str">
        <x:v>保留</x:v>
      </x:c>
      <x:c r="E275" s="134" t="str">
        <x:v>风箱</x:v>
      </x:c>
      <x:c r="F275" s="134" t="str">
        <x:v>—</x:v>
      </x:c>
      <x:c r="G275" s="134" t="str">
        <x:v>循环C01/C09/C10：风箱助燃，只增强火元素。</x:v>
      </x:c>
      <x:c r="H275" s="134" t="str">
        <x:v>接触火元素时，双方本回合分值各+2。</x:v>
      </x:c>
      <x:c r="I275" s="134" t="str">
        <x:v>接触火元素时，双方本回合分值各+2。</x:v>
      </x:c>
      <x:c r="J275" s="134" t="str">
        <x:v>V5→V6</x:v>
      </x:c>
    </x:row>
    <x:row r="276" ht="30" customHeight="1">
      <x:c r="A276" s="128" t="str">
        <x:v>物品</x:v>
      </x:c>
      <x:c r="B276" s="128" t="str">
        <x:v>I049</x:v>
      </x:c>
      <x:c r="C276" s="128" t="str">
        <x:v>鞭炮</x:v>
      </x:c>
      <x:c r="D276" s="128" t="str">
        <x:v>保留</x:v>
      </x:c>
      <x:c r="E276" s="128" t="str">
        <x:v>鞭炮</x:v>
      </x:c>
      <x:c r="F276" s="128" t="str">
        <x:v>—</x:v>
      </x:c>
      <x:c r="G276" s="128" t="str">
        <x:v>循环C01/C09/C10：火点燃鞭炮，自身永久消耗、礼花临时存在。</x:v>
      </x:c>
      <x:c r="H276" s="128" t="str">
        <x:v>接触火元素时，消耗自身，临时生成3颗礼花。</x:v>
      </x:c>
      <x:c r="I276" s="128" t="str">
        <x:v>接触火元素时，消耗自身，临时生成3颗礼花。</x:v>
      </x:c>
      <x:c r="J276" s="128" t="str">
        <x:v>V5→V6</x:v>
      </x:c>
    </x:row>
    <x:row r="277" ht="30" customHeight="1">
      <x:c r="A277" s="134" t="str">
        <x:v>物品</x:v>
      </x:c>
      <x:c r="B277" s="134" t="str">
        <x:v>I050</x:v>
      </x:c>
      <x:c r="C277" s="134" t="str">
        <x:v>蒸汽锅炉</x:v>
      </x:c>
      <x:c r="D277" s="134" t="str">
        <x:v>保留</x:v>
      </x:c>
      <x:c r="E277" s="134" t="str">
        <x:v>蒸汽锅炉</x:v>
      </x:c>
      <x:c r="F277" s="134" t="str">
        <x:v>—</x:v>
      </x:c>
      <x:c r="G277" s="134" t="str">
        <x:v>循环C01/C09/C10：锅炉只消耗液态水珠，不把冰块或蒸汽再次当水使用。</x:v>
      </x:c>
      <x:c r="H277" s="134" t="str">
        <x:v>接触火元素时，进入点燃状态。点燃后接触水珠时，消耗该水珠，临时生成1团蒸汽。</x:v>
      </x:c>
      <x:c r="I277" s="134" t="str">
        <x:v>接触火元素时，进入点燃状态。点燃后接触水珠时，消耗该水珠，临时生成1团蒸汽。</x:v>
      </x:c>
      <x:c r="J277" s="134" t="str">
        <x:v>V5→V6</x:v>
      </x:c>
    </x:row>
    <x:row r="278" ht="30" customHeight="1">
      <x:c r="A278" s="128" t="str">
        <x:v>物品</x:v>
      </x:c>
      <x:c r="B278" s="128" t="str">
        <x:v>I051</x:v>
      </x:c>
      <x:c r="C278" s="128" t="str">
        <x:v>金币</x:v>
      </x:c>
      <x:c r="D278" s="128" t="str">
        <x:v>保留</x:v>
      </x:c>
      <x:c r="E278" s="128" t="str">
        <x:v>金币</x:v>
      </x:c>
      <x:c r="F278" s="128" t="str">
        <x:v>—</x:v>
      </x:c>
      <x:c r="G278" s="128" t="str">
        <x:v>循环C05/C11：作为货币接收目标，鼓励主动接触集市物品。</x:v>
      </x:c>
      <x:c r="H278" s="128" t="str">
        <x:v>结算时，本回合接触过集市物品时，自身本回合分值+2。</x:v>
      </x:c>
      <x:c r="I278" s="128" t="str">
        <x:v>结算时，本回合接触过集市物品时，自身本回合分值+2。</x:v>
      </x:c>
      <x:c r="J278" s="128" t="str">
        <x:v>V5→V6</x:v>
      </x:c>
    </x:row>
    <x:row r="279" ht="30" customHeight="1">
      <x:c r="A279" s="134" t="str">
        <x:v>物品</x:v>
      </x:c>
      <x:c r="B279" s="134" t="str">
        <x:v>I052</x:v>
      </x:c>
      <x:c r="C279" s="134" t="str">
        <x:v>招财猪</x:v>
      </x:c>
      <x:c r="D279" s="134" t="str">
        <x:v>保留</x:v>
      </x:c>
      <x:c r="E279" s="134" t="str">
        <x:v>招财猪</x:v>
      </x:c>
      <x:c r="F279" s="134" t="str">
        <x:v>—</x:v>
      </x:c>
      <x:c r="G279" s="134" t="str">
        <x:v>循环C05/C11：招财猪是存钱摆件，不应被动物图鉴、牧场铃铛当作活猪。</x:v>
      </x:c>
      <x:c r="H279" s="134" t="str">
        <x:v>接触货币时，使该货币本回合分值+3，自身本回合分值+2。</x:v>
      </x:c>
      <x:c r="I279" s="134" t="str">
        <x:v>接触货币时，使该货币本回合分值+3，自身本回合分值+2。</x:v>
      </x:c>
      <x:c r="J279" s="134" t="str">
        <x:v>V5→V6</x:v>
      </x:c>
    </x:row>
    <x:row r="280" ht="30" customHeight="1">
      <x:c r="A280" s="128" t="str">
        <x:v>物品</x:v>
      </x:c>
      <x:c r="B280" s="128" t="str">
        <x:v>I053</x:v>
      </x:c>
      <x:c r="C280" s="128" t="str">
        <x:v>海绵</x:v>
      </x:c>
      <x:c r="D280" s="128" t="str">
        <x:v>保留</x:v>
      </x:c>
      <x:c r="E280" s="128" t="str">
        <x:v>海绵</x:v>
      </x:c>
      <x:c r="F280" s="128" t="str">
        <x:v>—</x:v>
      </x:c>
      <x:c r="G280" s="128" t="str">
        <x:v>循环C05/C11：海绵只吸收水珠，避免吸收冰块或蒸汽。</x:v>
      </x:c>
      <x:c r="H280" s="128" t="str">
        <x:v>接触水珠时，消耗该水珠，自身本回合分值+5。</x:v>
      </x:c>
      <x:c r="I280" s="128" t="str">
        <x:v>接触水珠时，消耗该水珠，自身本回合分值+5。</x:v>
      </x:c>
      <x:c r="J280" s="128" t="str">
        <x:v>V5→V6</x:v>
      </x:c>
    </x:row>
    <x:row r="281" ht="38" customHeight="1">
      <x:c r="A281" s="134" t="str">
        <x:v>物品</x:v>
      </x:c>
      <x:c r="B281" s="134" t="str">
        <x:v>I054</x:v>
      </x:c>
      <x:c r="C281" s="134" t="str">
        <x:v>回收桶</x:v>
      </x:c>
      <x:c r="D281" s="134" t="str">
        <x:v>保留</x:v>
      </x:c>
      <x:c r="E281" s="134" t="str">
        <x:v>回收桶</x:v>
      </x:c>
      <x:c r="F281" s="134" t="str">
        <x:v>—</x:v>
      </x:c>
      <x:c r="G281" s="134" t="str">
        <x:v>循环C05/C11：合并拾荒者的低值清理入口，明确名单，不吞掉有功能的任意商品。</x:v>
      </x:c>
      <x:c r="H281" s="134" t="str">
        <x:v>接触矿砂、铁屑、饼干屑或纪念票时，消耗该物品，直接计分5。</x:v>
      </x:c>
      <x:c r="I281" s="134" t="str">
        <x:v>接触矿砂、铁屑、饼干屑或纪念票时，消耗该物品，直接计分5。</x:v>
      </x:c>
      <x:c r="J281" s="134" t="str">
        <x:v>V5→V6</x:v>
      </x:c>
    </x:row>
    <x:row r="282" ht="30" customHeight="1">
      <x:c r="A282" s="128" t="str">
        <x:v>物品</x:v>
      </x:c>
      <x:c r="B282" s="128" t="str">
        <x:v>I055</x:v>
      </x:c>
      <x:c r="C282" s="128" t="str">
        <x:v>钱包</x:v>
      </x:c>
      <x:c r="D282" s="128" t="str">
        <x:v>保留</x:v>
      </x:c>
      <x:c r="E282" s="128" t="str">
        <x:v>钱包</x:v>
      </x:c>
      <x:c r="F282" s="128" t="str">
        <x:v>—</x:v>
      </x:c>
      <x:c r="G282" s="128" t="str">
        <x:v>循环C05/C11：货币长期成长，区别于招财猪本回合加分。</x:v>
      </x:c>
      <x:c r="H282" s="128" t="str">
        <x:v>接触货币时，使该货币永久基础分+1。</x:v>
      </x:c>
      <x:c r="I282" s="128" t="str">
        <x:v>接触货币时，使该货币永久基础分+1。</x:v>
      </x:c>
      <x:c r="J282" s="128" t="str">
        <x:v>V5→V6</x:v>
      </x:c>
    </x:row>
    <x:row r="283" ht="30" customHeight="1">
      <x:c r="A283" s="134" t="str">
        <x:v>物品</x:v>
      </x:c>
      <x:c r="B283" s="134" t="str">
        <x:v>I057</x:v>
      </x:c>
      <x:c r="C283" s="134" t="str">
        <x:v>金算盘</x:v>
      </x:c>
      <x:c r="D283" s="134" t="str">
        <x:v>保留</x:v>
      </x:c>
      <x:c r="E283" s="134" t="str">
        <x:v>金算盘</x:v>
      </x:c>
      <x:c r="F283" s="134" t="str">
        <x:v>—</x:v>
      </x:c>
      <x:c r="G283" s="134" t="str">
        <x:v>循环C05/C11：货币阵容带来自身长期成长，不重复钱包的目标成长。</x:v>
      </x:c>
      <x:c r="H283" s="134" t="str">
        <x:v>结算结束时，瓶中有至少3件货币且自身存活时，自身永久基础分+1。</x:v>
      </x:c>
      <x:c r="I283" s="134" t="str">
        <x:v>结算结束时，瓶中有至少3件货币且自身存活时，自身永久基础分+1。</x:v>
      </x:c>
      <x:c r="J283" s="134" t="str">
        <x:v>V5→V6</x:v>
      </x:c>
    </x:row>
    <x:row r="284" ht="38" customHeight="1">
      <x:c r="A284" s="128" t="str">
        <x:v>物品</x:v>
      </x:c>
      <x:c r="B284" s="128" t="str">
        <x:v>I058</x:v>
      </x:c>
      <x:c r="C284" s="128" t="str">
        <x:v>货架</x:v>
      </x:c>
      <x:c r="D284" s="128" t="str">
        <x:v>保留</x:v>
      </x:c>
      <x:c r="E284" s="128" t="str">
        <x:v>货架</x:v>
      </x:c>
      <x:c r="F284" s="128" t="str">
        <x:v>—</x:v>
      </x:c>
      <x:c r="G284" s="128" t="str">
        <x:v>循环C05/C11：唯一通用商品展示设施，要求冻结时接触。</x:v>
      </x:c>
      <x:c r="H284" s="128" t="str">
        <x:v>结算时，与自身接触的商品各本回合分值+3；这些商品至少有3种不同名称时，自身本回合分值再+6。</x:v>
      </x:c>
      <x:c r="I284" s="128" t="str">
        <x:v>结算时，与自身接触的商品各本回合分值+3；这些商品至少有3种不同名称时，自身本回合分值再+6。</x:v>
      </x:c>
      <x:c r="J284" s="128" t="str">
        <x:v>V5→V6</x:v>
      </x:c>
    </x:row>
    <x:row r="285" ht="38" customHeight="1">
      <x:c r="A285" s="134" t="str">
        <x:v>物品</x:v>
      </x:c>
      <x:c r="B285" s="134" t="str">
        <x:v>I060</x:v>
      </x:c>
      <x:c r="C285" s="134" t="str">
        <x:v>拍卖槌</x:v>
      </x:c>
      <x:c r="D285" s="134" t="str">
        <x:v>调整</x:v>
      </x:c>
      <x:c r="E285" s="134" t="str">
        <x:v>拍卖槌</x:v>
      </x:c>
      <x:c r="F285" s="134" t="str">
        <x:v>—</x:v>
      </x:c>
      <x:c r="G285" s="134" t="str">
        <x:v>原基础分8门槛使羊毛等产物缺少消费出口；放开商品门槛，保持每回合只拍卖1件。</x:v>
      </x:c>
      <x:c r="H285" s="134" t="str">
        <x:v>接触基础分至少为8的商品时，消耗该商品，直接计分等于其被消耗前的当前分值×3。</x:v>
      </x:c>
      <x:c r="I285" s="134" t="str">
        <x:v>接触商品时，消耗该商品，直接计分等于其被消耗前的当前分值×3。</x:v>
      </x:c>
      <x:c r="J285" s="134" t="str">
        <x:v>V5→V6</x:v>
      </x:c>
    </x:row>
    <x:row r="286" ht="30" customHeight="1">
      <x:c r="A286" s="128" t="str">
        <x:v>物品</x:v>
      </x:c>
      <x:c r="B286" s="128" t="str">
        <x:v>I061</x:v>
      </x:c>
      <x:c r="C286" s="128" t="str">
        <x:v>小电池</x:v>
      </x:c>
      <x:c r="D286" s="128" t="str">
        <x:v>保留</x:v>
      </x:c>
      <x:c r="E286" s="128" t="str">
        <x:v>小电池</x:v>
      </x:c>
      <x:c r="F286" s="128" t="str">
        <x:v>—</x:v>
      </x:c>
      <x:c r="G286" s="128" t="str">
        <x:v>循环C01/C12/C13：有限电量主动补能，不能自己被充电，不形成无限电源。</x:v>
      </x:c>
      <x:c r="H286" s="128" t="str">
        <x:v>初始电量为3。接触充能物品时，花费1电量，使该物品充能+1。</x:v>
      </x:c>
      <x:c r="I286" s="128" t="str">
        <x:v>初始电量为3。接触充能物品时，花费1电量，使该物品充能+1。</x:v>
      </x:c>
      <x:c r="J286" s="128" t="str">
        <x:v>V5→V6</x:v>
      </x:c>
    </x:row>
    <x:row r="287" ht="30" customHeight="1">
      <x:c r="A287" s="134" t="str">
        <x:v>物品</x:v>
      </x:c>
      <x:c r="B287" s="134" t="str">
        <x:v>I062</x:v>
      </x:c>
      <x:c r="C287" s="134" t="str">
        <x:v>电动玩具</x:v>
      </x:c>
      <x:c r="D287" s="134" t="str">
        <x:v>保留</x:v>
      </x:c>
      <x:c r="E287" s="134" t="str">
        <x:v>电动玩具</x:v>
      </x:c>
      <x:c r="F287" s="134" t="str">
        <x:v>—</x:v>
      </x:c>
      <x:c r="G287" s="134" t="str">
        <x:v>循环C01/C12/C13：电池驱动的玩具改名电动玩具，避免电力和发条的语义冲突。</x:v>
      </x:c>
      <x:c r="H287" s="134" t="str">
        <x:v>初始充能为2。接触其他物品时，花费1充能，自身本回合分值+3。</x:v>
      </x:c>
      <x:c r="I287" s="134" t="str">
        <x:v>初始充能为2。接触其他物品时，花费1充能，自身本回合分值+3。</x:v>
      </x:c>
      <x:c r="J287" s="134" t="str">
        <x:v>V5→V6</x:v>
      </x:c>
    </x:row>
    <x:row r="288" ht="38" customHeight="1">
      <x:c r="A288" s="128" t="str">
        <x:v>物品</x:v>
      </x:c>
      <x:c r="B288" s="128" t="str">
        <x:v>I064</x:v>
      </x:c>
      <x:c r="C288" s="128" t="str">
        <x:v>电容罐</x:v>
      </x:c>
      <x:c r="D288" s="128" t="str">
        <x:v>保留</x:v>
      </x:c>
      <x:c r="E288" s="128" t="str">
        <x:v>电容罐</x:v>
      </x:c>
      <x:c r="F288" s="128" t="str">
        <x:v>—</x:v>
      </x:c>
      <x:c r="G288" s="128" t="str">
        <x:v>循环C01/C12/C13：留存电量计分，与电动玩具耗能计分方向相反。</x:v>
      </x:c>
      <x:c r="H288" s="128" t="str">
        <x:v>初始充能为0。每实际获得1充能，自身本回合分值+1。结算时，每剩余1充能，自身本回合分值再+3。</x:v>
      </x:c>
      <x:c r="I288" s="128" t="str">
        <x:v>初始充能为0。每实际获得1充能，自身本回合分值+1。结算时，每剩余1充能，自身本回合分值再+3。</x:v>
      </x:c>
      <x:c r="J288" s="128" t="str">
        <x:v>V5→V6</x:v>
      </x:c>
    </x:row>
    <x:row r="289" ht="38" customHeight="1">
      <x:c r="A289" s="134" t="str">
        <x:v>物品</x:v>
      </x:c>
      <x:c r="B289" s="134" t="str">
        <x:v>I067</x:v>
      </x:c>
      <x:c r="C289" s="134" t="str">
        <x:v>复印机</x:v>
      </x:c>
      <x:c r="D289" s="134" t="str">
        <x:v>调整</x:v>
      </x:c>
      <x:c r="E289" s="134" t="str">
        <x:v>复印机</x:v>
      </x:c>
      <x:c r="F289" s="134" t="str">
        <x:v>—</x:v>
      </x:c>
      <x:c r="G289" s="134" t="str">
        <x:v>明确不复制原商品的技能，纸影自带的焚烧产魂属于纸影定义。</x:v>
      </x:c>
      <x:c r="H289" s="134" t="str">
        <x:v>初始充能为2。接触商品时，花费1充能，临时生成1张纸影；纸影基础分等于该商品当前分值，上限12。</x:v>
      </x:c>
      <x:c r="I289" s="134" t="str">
        <x:v>初始充能为2。接触商品时，花费1充能，临时生成1张纸影；纸影基础分等于该商品当前分值，上限12。</x:v>
      </x:c>
      <x:c r="J289" s="134" t="str">
        <x:v>V5→V6</x:v>
      </x:c>
    </x:row>
    <x:row r="290" ht="30" customHeight="1">
      <x:c r="A290" s="128" t="str">
        <x:v>物品</x:v>
      </x:c>
      <x:c r="B290" s="128" t="str">
        <x:v>I068</x:v>
      </x:c>
      <x:c r="C290" s="128" t="str">
        <x:v>弹簧台</x:v>
      </x:c>
      <x:c r="D290" s="128" t="str">
        <x:v>保留</x:v>
      </x:c>
      <x:c r="E290" s="128" t="str">
        <x:v>弹簧台</x:v>
      </x:c>
      <x:c r="F290" s="128" t="str">
        <x:v>—</x:v>
      </x:c>
      <x:c r="G290" s="128" t="str">
        <x:v>循环C01/C12/C13：接触后弹开，具备其他增值物品没有的空间操作作用。</x:v>
      </x:c>
      <x:c r="H290" s="128" t="str">
        <x:v>接触其他物品时，使该物品本回合分值+1，并将其轻推离自身。</x:v>
      </x:c>
      <x:c r="I290" s="128" t="str">
        <x:v>接触其他物品时，使该物品本回合分值+1，并将其轻推离自身。</x:v>
      </x:c>
      <x:c r="J290" s="128" t="str">
        <x:v>V5→V6</x:v>
      </x:c>
    </x:row>
    <x:row r="291" ht="38" customHeight="1">
      <x:c r="A291" s="134" t="str">
        <x:v>物品</x:v>
      </x:c>
      <x:c r="B291" s="134" t="str">
        <x:v>I069</x:v>
      </x:c>
      <x:c r="C291" s="134" t="str">
        <x:v>磁铁</x:v>
      </x:c>
      <x:c r="D291" s="134" t="str">
        <x:v>保留</x:v>
      </x:c>
      <x:c r="E291" s="134" t="str">
        <x:v>磁铁</x:v>
      </x:c>
      <x:c r="F291" s="134" t="str">
        <x:v>—</x:v>
      </x:c>
      <x:c r="G291" s="134" t="str">
        <x:v>循环C01/C12/C13：仅作用于明确的含铁物品；不因金属标签而吸引金币、金砂或奖杯。</x:v>
      </x:c>
      <x:c r="H291" s="134" t="str">
        <x:v>接触铁矿块、铁锭或铁屑时，该目标本回合分值+3，自身本回合分值+1。</x:v>
      </x:c>
      <x:c r="I291" s="134" t="str">
        <x:v>接触铁矿块、铁锭或铁屑时，该目标本回合分值+3，自身本回合分值+1。</x:v>
      </x:c>
      <x:c r="J291" s="134" t="str">
        <x:v>V5→V6</x:v>
      </x:c>
    </x:row>
    <x:row r="292" ht="38" customHeight="1">
      <x:c r="A292" s="128" t="str">
        <x:v>物品</x:v>
      </x:c>
      <x:c r="B292" s="128" t="str">
        <x:v>I070</x:v>
      </x:c>
      <x:c r="C292" s="128" t="str">
        <x:v>计数盘</x:v>
      </x:c>
      <x:c r="D292" s="128" t="str">
        <x:v>保留</x:v>
      </x:c>
      <x:c r="E292" s="128" t="str">
        <x:v>计数盘</x:v>
      </x:c>
      <x:c r="F292" s="128" t="str">
        <x:v>—</x:v>
      </x:c>
      <x:c r="G292" s="128" t="str">
        <x:v>循环C01/C12/C13：计数盘统计所有其他物品，移除没有解释的非机械排除条件。</x:v>
      </x:c>
      <x:c r="H292" s="128" t="str">
        <x:v>结算时，瓶中每有1件其他物品，自身本回合分值+1；这些物品至少有8种不同名称时，自身本回合分值再+8。</x:v>
      </x:c>
      <x:c r="I292" s="128" t="str">
        <x:v>结算时，瓶中每有1件其他物品，自身本回合分值+1；这些物品至少有8种不同名称时，自身本回合分值再+8。</x:v>
      </x:c>
      <x:c r="J292" s="128" t="str">
        <x:v>V5→V6</x:v>
      </x:c>
    </x:row>
    <x:row r="293" ht="38" customHeight="1">
      <x:c r="A293" s="134" t="str">
        <x:v>物品</x:v>
      </x:c>
      <x:c r="B293" s="134" t="str">
        <x:v>I071</x:v>
      </x:c>
      <x:c r="C293" s="134" t="str">
        <x:v>灵魂罐</x:v>
      </x:c>
      <x:c r="D293" s="134" t="str">
        <x:v>调整</x:v>
      </x:c>
      <x:c r="E293" s="134" t="str">
        <x:v>幽灵之门</x:v>
      </x:c>
      <x:c r="F293" s="134" t="str">
        <x:v>—</x:v>
      </x:c>
      <x:c r="G293" s="134" t="str">
        <x:v>重做为幽灵之门，提供每回合最多1个幽灵的两件套基础引擎；避免整个灵魂流只能依靠消耗有限罐子，或强制凑齐四件机械组合。</x:v>
      </x:c>
      <x:c r="H293" s="134" t="str">
        <x:v>接触灵魂石或引魂灯时，消耗自身，生成2个幽灵。</x:v>
      </x:c>
      <x:c r="I293" s="134" t="str">
        <x:v>接触灵魂石或引魂灯时，生成1个幽灵。</x:v>
      </x:c>
      <x:c r="J293" s="134" t="str">
        <x:v>V5→V6</x:v>
      </x:c>
    </x:row>
    <x:row r="294" ht="38" customHeight="1">
      <x:c r="A294" s="128" t="str">
        <x:v>物品</x:v>
      </x:c>
      <x:c r="B294" s="128" t="str">
        <x:v>I072</x:v>
      </x:c>
      <x:c r="C294" s="128" t="str">
        <x:v>墓碑</x:v>
      </x:c>
      <x:c r="D294" s="128" t="str">
        <x:v>保留</x:v>
      </x:c>
      <x:c r="E294" s="128" t="str">
        <x:v>墓碑</x:v>
      </x:c>
      <x:c r="F294" s="128" t="str">
        <x:v>—</x:v>
      </x:c>
      <x:c r="G294" s="128" t="str">
        <x:v>循环C13/C14：接触幽灵培育墓碑，灵魂主题下因果一致。</x:v>
      </x:c>
      <x:c r="H294" s="128" t="str">
        <x:v>接触幽灵时，自身本回合分值+2。结算结束时，若自身存活，且本回合接触过至少3个不同幽灵，自身永久基础分+1。</x:v>
      </x:c>
      <x:c r="I294" s="128" t="str">
        <x:v>接触幽灵时，自身本回合分值+2。结算结束时，若自身存活，且本回合接触过至少3个不同幽灵，自身永久基础分+1。</x:v>
      </x:c>
      <x:c r="J294" s="128" t="str">
        <x:v>V5→V6</x:v>
      </x:c>
    </x:row>
    <x:row r="295" ht="30" customHeight="1">
      <x:c r="A295" s="134" t="str">
        <x:v>物品</x:v>
      </x:c>
      <x:c r="B295" s="134" t="str">
        <x:v>I073</x:v>
      </x:c>
      <x:c r="C295" s="134" t="str">
        <x:v>灵魂石</x:v>
      </x:c>
      <x:c r="D295" s="134" t="str">
        <x:v>保留</x:v>
      </x:c>
      <x:c r="E295" s="134" t="str">
        <x:v>灵魂石</x:v>
      </x:c>
      <x:c r="F295" s="134" t="str">
        <x:v>—</x:v>
      </x:c>
      <x:c r="G295" s="134" t="str">
        <x:v>循环C13/C14：消耗幽灵转为自身分值，与保留幽灵结算存在取舍。</x:v>
      </x:c>
      <x:c r="H295" s="134" t="str">
        <x:v>接触幽灵时，消耗该幽灵，自身本回合分值增加（该幽灵被消耗前的当前分值+3）。</x:v>
      </x:c>
      <x:c r="I295" s="134" t="str">
        <x:v>接触幽灵时，消耗该幽灵，自身本回合分值增加（该幽灵被消耗前的当前分值+3）。</x:v>
      </x:c>
      <x:c r="J295" s="134" t="str">
        <x:v>V5→V6</x:v>
      </x:c>
    </x:row>
    <x:row r="296" ht="30" customHeight="1">
      <x:c r="A296" s="128" t="str">
        <x:v>物品</x:v>
      </x:c>
      <x:c r="B296" s="128" t="str">
        <x:v>I074</x:v>
      </x:c>
      <x:c r="C296" s="128" t="str">
        <x:v>纸人</x:v>
      </x:c>
      <x:c r="D296" s="128" t="str">
        <x:v>保留</x:v>
      </x:c>
      <x:c r="E296" s="128" t="str">
        <x:v>纸人</x:v>
      </x:c>
      <x:c r="F296" s="128" t="str">
        <x:v>—</x:v>
      </x:c>
      <x:c r="G296" s="128" t="str">
        <x:v>循环C13/C14：纸质形象被消耗后留魂，作为灵魂链的明确燃料。</x:v>
      </x:c>
      <x:c r="H296" s="128" t="str">
        <x:v>被消耗时，生成1个幽灵，并使消耗者本回合分值+2。</x:v>
      </x:c>
      <x:c r="I296" s="128" t="str">
        <x:v>被消耗时，生成1个幽灵，并使消耗者本回合分值+2。</x:v>
      </x:c>
      <x:c r="J296" s="128" t="str">
        <x:v>V5→V6</x:v>
      </x:c>
    </x:row>
    <x:row r="297" ht="30" customHeight="1">
      <x:c r="A297" s="134" t="str">
        <x:v>物品</x:v>
      </x:c>
      <x:c r="B297" s="134" t="str">
        <x:v>I075</x:v>
      </x:c>
      <x:c r="C297" s="134" t="str">
        <x:v>引魂灯</x:v>
      </x:c>
      <x:c r="D297" s="134" t="str">
        <x:v>保留</x:v>
      </x:c>
      <x:c r="E297" s="134" t="str">
        <x:v>引魂灯</x:v>
      </x:c>
      <x:c r="F297" s="134" t="str">
        <x:v>—</x:v>
      </x:c>
      <x:c r="G297" s="134" t="str">
        <x:v>循环C13/C14：保留幽灵并用灯增强，与消耗流不同。</x:v>
      </x:c>
      <x:c r="H297" s="134" t="str">
        <x:v>结算时，与自身接触的幽灵各本回合分值+3。</x:v>
      </x:c>
      <x:c r="I297" s="134" t="str">
        <x:v>结算时，与自身接触的幽灵各本回合分值+3。</x:v>
      </x:c>
      <x:c r="J297" s="134" t="str">
        <x:v>V5→V6</x:v>
      </x:c>
    </x:row>
    <x:row r="298" ht="38" customHeight="1">
      <x:c r="A298" s="128" t="str">
        <x:v>物品</x:v>
      </x:c>
      <x:c r="B298" s="128" t="str">
        <x:v>I076</x:v>
      </x:c>
      <x:c r="C298" s="128" t="str">
        <x:v>焚化炉</x:v>
      </x:c>
      <x:c r="D298" s="128" t="str">
        <x:v>保留</x:v>
      </x:c>
      <x:c r="E298" s="128" t="str">
        <x:v>焚化炉</x:v>
      </x:c>
      <x:c r="F298" s="128" t="str">
        <x:v>—</x:v>
      </x:c>
      <x:c r="G298" s="128" t="str">
        <x:v>循环C13/C14：燃料收窄到带有形象的纸人和纸影，移除不可燃铁屑与无关羊毛生魂火。</x:v>
      </x:c>
      <x:c r="H298" s="128" t="str">
        <x:v>接触纸人或纸影时，消耗该物品，临时生成1团魂火，并直接计分4。</x:v>
      </x:c>
      <x:c r="I298" s="128" t="str">
        <x:v>接触纸人或纸影时，消耗该物品，临时生成1团魂火，并直接计分4。</x:v>
      </x:c>
      <x:c r="J298" s="128" t="str">
        <x:v>V5→V6</x:v>
      </x:c>
    </x:row>
    <x:row r="299" ht="30" customHeight="1">
      <x:c r="A299" s="134" t="str">
        <x:v>物品</x:v>
      </x:c>
      <x:c r="B299" s="134" t="str">
        <x:v>I077</x:v>
      </x:c>
      <x:c r="C299" s="134" t="str">
        <x:v>亡语铃</x:v>
      </x:c>
      <x:c r="D299" s="134" t="str">
        <x:v>保留</x:v>
      </x:c>
      <x:c r="E299" s="134" t="str">
        <x:v>亡语铃</x:v>
      </x:c>
      <x:c r="F299" s="134" t="str">
        <x:v>—</x:v>
      </x:c>
      <x:c r="G299" s="134" t="str">
        <x:v>循环C13/C14：在真实消耗现场获益，强调消耗前的接触布局。</x:v>
      </x:c>
      <x:c r="H299" s="134" t="str">
        <x:v>自身正在接触的物品被消耗时，自身本回合分值+3。</x:v>
      </x:c>
      <x:c r="I299" s="134" t="str">
        <x:v>自身正在接触的物品被消耗时，自身本回合分值+3。</x:v>
      </x:c>
      <x:c r="J299" s="134" t="str">
        <x:v>V5→V6</x:v>
      </x:c>
    </x:row>
    <x:row r="300" ht="38" customHeight="1">
      <x:c r="A300" s="128" t="str">
        <x:v>物品</x:v>
      </x:c>
      <x:c r="B300" s="128" t="str">
        <x:v>I079</x:v>
      </x:c>
      <x:c r="C300" s="128" t="str">
        <x:v>轮回匣</x:v>
      </x:c>
      <x:c r="D300" s="128" t="str">
        <x:v>保留</x:v>
      </x:c>
      <x:c r="E300" s="128" t="str">
        <x:v>轮回匣</x:v>
      </x:c>
      <x:c r="F300" s="128" t="str">
        <x:v>—</x:v>
      </x:c>
      <x:c r="G300" s="128" t="str">
        <x:v>循环C13/C14：只取回本回合已消耗的低分实例，不重置次数。</x:v>
      </x:c>
      <x:c r="H300" s="128" t="str">
        <x:v>接触幽灵时，若本回合弃牌堆中有基础分不超过3的永久物品，先选中其中最早被消耗的1件，再消耗该幽灵，并复活选中的物品。</x:v>
      </x:c>
      <x:c r="I300" s="128" t="str">
        <x:v>接触幽灵时，若本回合弃牌堆中有基础分不超过3的永久物品，先选中其中最早被消耗的1件，再消耗该幽灵，并复活选中的物品。</x:v>
      </x:c>
      <x:c r="J300" s="128" t="str">
        <x:v>V5→V6</x:v>
      </x:c>
    </x:row>
    <x:row r="301" ht="30" customHeight="1">
      <x:c r="A301" s="134" t="str">
        <x:v>物品</x:v>
      </x:c>
      <x:c r="B301" s="134" t="str">
        <x:v>I080</x:v>
      </x:c>
      <x:c r="C301" s="134" t="str">
        <x:v>守墓人</x:v>
      </x:c>
      <x:c r="D301" s="134" t="str">
        <x:v>保留</x:v>
      </x:c>
      <x:c r="E301" s="134" t="str">
        <x:v>守墓人</x:v>
      </x:c>
      <x:c r="F301" s="134" t="str">
        <x:v>—</x:v>
      </x:c>
      <x:c r="G301" s="134" t="str">
        <x:v>循环C13/C14：消耗路线的全局结算回报，不额外增加复活规则。</x:v>
      </x:c>
      <x:c r="H301" s="134" t="str">
        <x:v>结算时，本回合弃牌堆中有至少3件永久物品时，所有存活灵魂物品结算倍率+50%。</x:v>
      </x:c>
      <x:c r="I301" s="134" t="str">
        <x:v>结算时，本回合弃牌堆中有至少3件永久物品时，所有存活灵魂物品结算倍率+50%。</x:v>
      </x:c>
      <x:c r="J301" s="134" t="str">
        <x:v>V5→V6</x:v>
      </x:c>
    </x:row>
    <x:row r="302" ht="30" customHeight="1">
      <x:c r="A302" s="128" t="str">
        <x:v>物品</x:v>
      </x:c>
      <x:c r="B302" s="128" t="str">
        <x:v>I081</x:v>
      </x:c>
      <x:c r="C302" s="128" t="str">
        <x:v>紫水晶</x:v>
      </x:c>
      <x:c r="D302" s="128" t="str">
        <x:v>保留</x:v>
      </x:c>
      <x:c r="E302" s="128" t="str">
        <x:v>紫水晶</x:v>
      </x:c>
      <x:c r="F302" s="128" t="str">
        <x:v>—</x:v>
      </x:c>
      <x:c r="G302" s="128" t="str">
        <x:v>循环C15：相邻宝石双向增值，是魔法宝石的基础连接件。</x:v>
      </x:c>
      <x:c r="H302" s="128" t="str">
        <x:v>结算时，与自身接触的其他宝石每有1件，自身和该宝石的本回合分值各+2。</x:v>
      </x:c>
      <x:c r="I302" s="128" t="str">
        <x:v>结算时，与自身接触的其他宝石每有1件，自身和该宝石的本回合分值各+2。</x:v>
      </x:c>
      <x:c r="J302" s="128" t="str">
        <x:v>V5→V6</x:v>
      </x:c>
    </x:row>
    <x:row r="303" ht="30" customHeight="1">
      <x:c r="A303" s="134" t="str">
        <x:v>物品</x:v>
      </x:c>
      <x:c r="B303" s="134" t="str">
        <x:v>I082</x:v>
      </x:c>
      <x:c r="C303" s="134" t="str">
        <x:v>黄水晶</x:v>
      </x:c>
      <x:c r="D303" s="134" t="str">
        <x:v>保留</x:v>
      </x:c>
      <x:c r="E303" s="134" t="str">
        <x:v>黄水晶</x:v>
      </x:c>
      <x:c r="F303" s="134" t="str">
        <x:v>—</x:v>
      </x:c>
      <x:c r="G303" s="134" t="str">
        <x:v>循环C15：宝石魔法培养接触的成长物品，已移除重复沙漏。</x:v>
      </x:c>
      <x:c r="H303" s="134" t="str">
        <x:v>结算结束时，与自身接触的成长物品中，永久基础分最低者永久基础分+1。</x:v>
      </x:c>
      <x:c r="I303" s="134" t="str">
        <x:v>结算结束时，与自身接触的成长物品中，永久基础分最低者永久基础分+1。</x:v>
      </x:c>
      <x:c r="J303" s="134" t="str">
        <x:v>V5→V6</x:v>
      </x:c>
    </x:row>
    <x:row r="304" ht="38" customHeight="1">
      <x:c r="A304" s="128" t="str">
        <x:v>物品</x:v>
      </x:c>
      <x:c r="B304" s="128" t="str">
        <x:v>I083</x:v>
      </x:c>
      <x:c r="C304" s="128" t="str">
        <x:v>雷晶石</x:v>
      </x:c>
      <x:c r="D304" s="128" t="str">
        <x:v>保留</x:v>
      </x:c>
      <x:c r="E304" s="128" t="str">
        <x:v>雷晶石</x:v>
      </x:c>
      <x:c r="F304" s="128" t="str">
        <x:v>—</x:v>
      </x:c>
      <x:c r="G304" s="128" t="str">
        <x:v>循环C15：充能宝石统一为名字能表达电力用途的雷晶石，不再设第二种零电量特例。</x:v>
      </x:c>
      <x:c r="H304" s="128" t="str">
        <x:v>接触充能物品时，使该物品充能+1。</x:v>
      </x:c>
      <x:c r="I304" s="128" t="str">
        <x:v>接触充能物品时，使该物品充能+1。</x:v>
      </x:c>
      <x:c r="J304" s="128" t="str">
        <x:v>V5→V6</x:v>
      </x:c>
    </x:row>
    <x:row r="305" ht="30" customHeight="1">
      <x:c r="A305" s="134" t="str">
        <x:v>物品</x:v>
      </x:c>
      <x:c r="B305" s="134" t="str">
        <x:v>I085</x:v>
      </x:c>
      <x:c r="C305" s="134" t="str">
        <x:v>黄玉</x:v>
      </x:c>
      <x:c r="D305" s="134" t="str">
        <x:v>保留</x:v>
      </x:c>
      <x:c r="E305" s="134" t="str">
        <x:v>黄玉</x:v>
      </x:c>
      <x:c r="F305" s="134" t="str">
        <x:v>—</x:v>
      </x:c>
      <x:c r="G305" s="134" t="str">
        <x:v>循环C15：唯一通用商品追加器，有一次上限且不递归追加。</x:v>
      </x:c>
      <x:c r="H305" s="134" t="str">
        <x:v>与自身接触的物品生成商品时，追加生成1件同种商品。</x:v>
      </x:c>
      <x:c r="I305" s="134" t="str">
        <x:v>与自身接触的物品生成商品时，追加生成1件同种商品。</x:v>
      </x:c>
      <x:c r="J305" s="134" t="str">
        <x:v>V5→V6</x:v>
      </x:c>
    </x:row>
    <x:row r="306" ht="30" customHeight="1">
      <x:c r="A306" s="128" t="str">
        <x:v>物品</x:v>
      </x:c>
      <x:c r="B306" s="128" t="str">
        <x:v>I086</x:v>
      </x:c>
      <x:c r="C306" s="128" t="str">
        <x:v>棱镜</x:v>
      </x:c>
      <x:c r="D306" s="128" t="str">
        <x:v>保留</x:v>
      </x:c>
      <x:c r="E306" s="128" t="str">
        <x:v>棱镜</x:v>
      </x:c>
      <x:c r="F306" s="128" t="str">
        <x:v>—</x:v>
      </x:c>
      <x:c r="G306" s="128" t="str">
        <x:v>循环C15：奖励不同宝石名称，区别于共鸣石只需宝石连通。</x:v>
      </x:c>
      <x:c r="H306" s="128" t="str">
        <x:v>结算时，与自身接触的宝石每有1种不同名称，自身本回合分值+3。</x:v>
      </x:c>
      <x:c r="I306" s="128" t="str">
        <x:v>结算时，与自身接触的宝石每有1种不同名称，自身本回合分值+3。</x:v>
      </x:c>
      <x:c r="J306" s="128" t="str">
        <x:v>V5→V6</x:v>
      </x:c>
    </x:row>
    <x:row r="307" ht="30" customHeight="1">
      <x:c r="A307" s="134" t="str">
        <x:v>物品</x:v>
      </x:c>
      <x:c r="B307" s="134" t="str">
        <x:v>I087</x:v>
      </x:c>
      <x:c r="C307" s="134" t="str">
        <x:v>共鸣石</x:v>
      </x:c>
      <x:c r="D307" s="134" t="str">
        <x:v>保留</x:v>
      </x:c>
      <x:c r="E307" s="134" t="str">
        <x:v>共鸣石</x:v>
      </x:c>
      <x:c r="F307" s="134" t="str">
        <x:v>—</x:v>
      </x:c>
      <x:c r="G307" s="134" t="str">
        <x:v>循环C15：宝石接触组达标，自身获益；保留重复宝石也能成组的路线。</x:v>
      </x:c>
      <x:c r="H307" s="134" t="str">
        <x:v>结算时，所在宝石接触组有至少3件时，自身本回合分值+5。</x:v>
      </x:c>
      <x:c r="I307" s="134" t="str">
        <x:v>结算时，所在宝石接触组有至少3件时，自身本回合分值+5。</x:v>
      </x:c>
      <x:c r="J307" s="134" t="str">
        <x:v>V5→V6</x:v>
      </x:c>
    </x:row>
    <x:row r="308" ht="30" customHeight="1">
      <x:c r="A308" s="128" t="str">
        <x:v>物品</x:v>
      </x:c>
      <x:c r="B308" s="128" t="str">
        <x:v>I088</x:v>
      </x:c>
      <x:c r="C308" s="128" t="str">
        <x:v>调音叉</x:v>
      </x:c>
      <x:c r="D308" s="128" t="str">
        <x:v>保留</x:v>
      </x:c>
      <x:c r="E308" s="128" t="str">
        <x:v>调音叉</x:v>
      </x:c>
      <x:c r="F308" s="128" t="str">
        <x:v>—</x:v>
      </x:c>
      <x:c r="G308" s="128" t="str">
        <x:v>循环C15：音叉只作用共鸣标签，连接共鸣石与紫水晶。</x:v>
      </x:c>
      <x:c r="H308" s="128" t="str">
        <x:v>接触共鸣物品时，双方本回合分值各+2。</x:v>
      </x:c>
      <x:c r="I308" s="128" t="str">
        <x:v>接触共鸣物品时，双方本回合分值各+2。</x:v>
      </x:c>
      <x:c r="J308" s="128" t="str">
        <x:v>V5→V6</x:v>
      </x:c>
    </x:row>
    <x:row r="309" ht="30" customHeight="1">
      <x:c r="A309" s="134" t="str">
        <x:v>物品</x:v>
      </x:c>
      <x:c r="B309" s="134" t="str">
        <x:v>I090</x:v>
      </x:c>
      <x:c r="C309" s="134" t="str">
        <x:v>镜片</x:v>
      </x:c>
      <x:c r="D309" s="134" t="str">
        <x:v>保留</x:v>
      </x:c>
      <x:c r="E309" s="134" t="str">
        <x:v>镜片</x:v>
      </x:c>
      <x:c r="F309" s="134" t="str">
        <x:v>—</x:v>
      </x:c>
      <x:c r="G309" s="134" t="str">
        <x:v>循环C15：读取目标冻结分值，和给目标倍率的放大镜方向不同。</x:v>
      </x:c>
      <x:c r="H309" s="134" t="str">
        <x:v>结算时，自身本回合分值增加与自身接触的物品中最高冻结分值的50%，向下取整。</x:v>
      </x:c>
      <x:c r="I309" s="134" t="str">
        <x:v>结算时，自身本回合分值增加与自身接触的物品中最高冻结分值的50%，向下取整。</x:v>
      </x:c>
      <x:c r="J309" s="134" t="str">
        <x:v>V5→V6</x:v>
      </x:c>
    </x:row>
    <x:row r="310" ht="38" customHeight="1">
      <x:c r="A310" s="128" t="str">
        <x:v>物品</x:v>
      </x:c>
      <x:c r="B310" s="128" t="str">
        <x:v>I091</x:v>
      </x:c>
      <x:c r="C310" s="128" t="str">
        <x:v>木剑</x:v>
      </x:c>
      <x:c r="D310" s="128" t="str">
        <x:v>调整</x:v>
      </x:c>
      <x:c r="E310" s="128" t="str">
        <x:v>木剑</x:v>
      </x:c>
      <x:c r="F310" s="128" t="str">
        <x:v>—</x:v>
      </x:c>
      <x:c r="G310" s="128" t="str">
        <x:v>三把剑与巨像同时入场的门槛过高；允许同一把剑通过分离再接触完成三次固定攻击。</x:v>
      </x:c>
      <x:c r="H310" s="128" t="str">
        <x:v>接触可攻击物品时，对其造成1点伤害，自身本回合分值+2。</x:v>
      </x:c>
      <x:c r="I310" s="128" t="str">
        <x:v>接触可攻击物品时，对其造成1点伤害；成功造成伤害后，自身本回合分值+2。</x:v>
      </x:c>
      <x:c r="J310" s="128" t="str">
        <x:v>V5→V6</x:v>
      </x:c>
    </x:row>
    <x:row r="311" ht="30" customHeight="1">
      <x:c r="A311" s="134" t="str">
        <x:v>物品</x:v>
      </x:c>
      <x:c r="B311" s="134" t="str">
        <x:v>I096</x:v>
      </x:c>
      <x:c r="C311" s="134" t="str">
        <x:v>地图</x:v>
      </x:c>
      <x:c r="D311" s="134" t="str">
        <x:v>保留</x:v>
      </x:c>
      <x:c r="E311" s="134" t="str">
        <x:v>地图</x:v>
      </x:c>
      <x:c r="F311" s="134" t="str">
        <x:v>—</x:v>
      </x:c>
      <x:c r="G311" s="134" t="str">
        <x:v>循环C16/C17：地图只支援探险主流派，避免装备标签被误当探险角色。</x:v>
      </x:c>
      <x:c r="H311" s="134" t="str">
        <x:v>结算时，使与自身接触的探险物品各本回合分值+4。</x:v>
      </x:c>
      <x:c r="I311" s="134" t="str">
        <x:v>结算时，使与自身接触的探险物品各本回合分值+4。</x:v>
      </x:c>
      <x:c r="J311" s="134" t="str">
        <x:v>V5→V6</x:v>
      </x:c>
    </x:row>
    <x:row r="312" ht="30" customHeight="1">
      <x:c r="A312" s="128" t="str">
        <x:v>物品</x:v>
      </x:c>
      <x:c r="B312" s="128" t="str">
        <x:v>I097</x:v>
      </x:c>
      <x:c r="C312" s="128" t="str">
        <x:v>钥匙</x:v>
      </x:c>
      <x:c r="D312" s="128" t="str">
        <x:v>保留</x:v>
      </x:c>
      <x:c r="E312" s="128" t="str">
        <x:v>钥匙</x:v>
      </x:c>
      <x:c r="F312" s="128" t="str">
        <x:v>—</x:v>
      </x:c>
      <x:c r="G312" s="128" t="str">
        <x:v>循环C16/C17：开箱消耗材料，来源同时支持选取与遗物生成。</x:v>
      </x:c>
      <x:c r="H312" s="128" t="str">
        <x:v>被宝箱消耗时，直接计分3。</x:v>
      </x:c>
      <x:c r="I312" s="128" t="str">
        <x:v>被宝箱消耗时，直接计分3。</x:v>
      </x:c>
      <x:c r="J312" s="128" t="str">
        <x:v>V5→V6</x:v>
      </x:c>
    </x:row>
    <x:row r="313" ht="30" customHeight="1">
      <x:c r="A313" s="134" t="str">
        <x:v>物品</x:v>
      </x:c>
      <x:c r="B313" s="134" t="str">
        <x:v>I098</x:v>
      </x:c>
      <x:c r="C313" s="134" t="str">
        <x:v>宝箱</x:v>
      </x:c>
      <x:c r="D313" s="134" t="str">
        <x:v>保留</x:v>
      </x:c>
      <x:c r="E313" s="134" t="str">
        <x:v>宝箱</x:v>
      </x:c>
      <x:c r="F313" s="134" t="str">
        <x:v>—</x:v>
      </x:c>
      <x:c r="G313" s="134" t="str">
        <x:v>循环C16/C17：钥匙开箱并消耗双方，产物与永久牌库变化清楚。</x:v>
      </x:c>
      <x:c r="H313" s="134" t="str">
        <x:v>接触钥匙时，消耗该钥匙及自身，生成1枚宝藏徽记和1颗晶屑。</x:v>
      </x:c>
      <x:c r="I313" s="134" t="str">
        <x:v>接触钥匙时，消耗该钥匙及自身，生成1枚宝藏徽记和1颗晶屑。</x:v>
      </x:c>
      <x:c r="J313" s="134" t="str">
        <x:v>V5→V6</x:v>
      </x:c>
    </x:row>
    <x:row r="314" ht="38" customHeight="1">
      <x:c r="A314" s="128" t="str">
        <x:v>物品</x:v>
      </x:c>
      <x:c r="B314" s="128" t="str">
        <x:v>I099</x:v>
      </x:c>
      <x:c r="C314" s="128" t="str">
        <x:v>训练木偶</x:v>
      </x:c>
      <x:c r="D314" s="128" t="str">
        <x:v>保留</x:v>
      </x:c>
      <x:c r="E314" s="128" t="str">
        <x:v>训练木偶</x:v>
      </x:c>
      <x:c r="F314" s="128" t="str">
        <x:v>—</x:v>
      </x:c>
      <x:c r="G314" s="128" t="str">
        <x:v>循环C16/C17：可重复跨回合使用的练习目标，区别于一次性巨像。</x:v>
      </x:c>
      <x:c r="H314" s="128" t="str">
        <x:v>每实际受到1点伤害，自身本回合分值+3；本回合累计受到3点伤害时，自身本回合分值再+3，并停止受伤。</x:v>
      </x:c>
      <x:c r="I314" s="128" t="str">
        <x:v>每实际受到1点伤害，自身本回合分值+3；本回合累计受到3点伤害时，自身本回合分值再+3，并停止受伤。</x:v>
      </x:c>
      <x:c r="J314" s="128" t="str">
        <x:v>V5→V6</x:v>
      </x:c>
    </x:row>
    <x:row r="315" ht="30" customHeight="1">
      <x:c r="A315" s="134" t="str">
        <x:v>物品</x:v>
      </x:c>
      <x:c r="B315" s="134" t="str">
        <x:v>I100</x:v>
      </x:c>
      <x:c r="C315" s="134" t="str">
        <x:v>守门巨像</x:v>
      </x:c>
      <x:c r="D315" s="134" t="str">
        <x:v>保留</x:v>
      </x:c>
      <x:c r="E315" s="134" t="str">
        <x:v>守门巨像</x:v>
      </x:c>
      <x:c r="F315" s="134" t="str">
        <x:v>—</x:v>
      </x:c>
      <x:c r="G315" s="134" t="str">
        <x:v>循环C16/C17：被击败后永久退场换战利品，提供攻击流消耗终点。</x:v>
      </x:c>
      <x:c r="H315" s="134" t="str">
        <x:v>本回合累计受到3伤害时，消耗自身，生成1座奖杯和1枚零钱。</x:v>
      </x:c>
      <x:c r="I315" s="134" t="str">
        <x:v>本回合累计受到3伤害时，消耗自身，生成1座奖杯和1枚零钱。</x:v>
      </x:c>
      <x:c r="J315" s="134" t="str">
        <x:v>V5→V6</x:v>
      </x:c>
    </x:row>
    <x:row r="316" ht="38" customHeight="1">
      <x:c r="A316" s="128" t="str">
        <x:v>物品</x:v>
      </x:c>
      <x:c r="B316" s="128" t="str">
        <x:v>I102</x:v>
      </x:c>
      <x:c r="C316" s="128" t="str">
        <x:v>接力棒</x:v>
      </x:c>
      <x:c r="D316" s="128" t="str">
        <x:v>保留</x:v>
      </x:c>
      <x:c r="E316" s="128" t="str">
        <x:v>接力棒</x:v>
      </x:c>
      <x:c r="F316" s="128" t="str">
        <x:v>—</x:v>
      </x:c>
      <x:c r="G316" s="128" t="str">
        <x:v>循环C18/C19：根据已发生的增值决定接力收益，有可操作的先后顺序。</x:v>
      </x:c>
      <x:c r="H316" s="128" t="str">
        <x:v>接触非连锁物品时，使该物品本回合分值+2；若该物品此前已被其他物品增值过，则该次改为+4。</x:v>
      </x:c>
      <x:c r="I316" s="128" t="str">
        <x:v>接触非连锁物品时，使该物品本回合分值+2；若该物品此前已被其他物品增值过，则该次改为+4。</x:v>
      </x:c>
      <x:c r="J316" s="128" t="str">
        <x:v>V5→V6</x:v>
      </x:c>
    </x:row>
    <x:row r="317" ht="30" customHeight="1">
      <x:c r="A317" s="134" t="str">
        <x:v>物品</x:v>
      </x:c>
      <x:c r="B317" s="134" t="str">
        <x:v>I104</x:v>
      </x:c>
      <x:c r="C317" s="134" t="str">
        <x:v>印章</x:v>
      </x:c>
      <x:c r="D317" s="134" t="str">
        <x:v>保留</x:v>
      </x:c>
      <x:c r="E317" s="134" t="str">
        <x:v>印章</x:v>
      </x:c>
      <x:c r="F317" s="134" t="str">
        <x:v>—</x:v>
      </x:c>
      <x:c r="G317" s="134" t="str">
        <x:v>循环C18/C19：印章限定盖在纸质信封与纪念票上，保留长期升值选择。</x:v>
      </x:c>
      <x:c r="H317" s="134" t="str">
        <x:v>接触信封或纪念票时，使该目标永久基础分+1。</x:v>
      </x:c>
      <x:c r="I317" s="134" t="str">
        <x:v>接触信封或纪念票时，使该目标永久基础分+1。</x:v>
      </x:c>
      <x:c r="J317" s="134" t="str">
        <x:v>V5→V6</x:v>
      </x:c>
    </x:row>
    <x:row r="318" ht="30" customHeight="1">
      <x:c r="A318" s="128" t="str">
        <x:v>物品</x:v>
      </x:c>
      <x:c r="B318" s="128" t="str">
        <x:v>I105</x:v>
      </x:c>
      <x:c r="C318" s="128" t="str">
        <x:v>邮筒</x:v>
      </x:c>
      <x:c r="D318" s="128" t="str">
        <x:v>保留</x:v>
      </x:c>
      <x:c r="E318" s="128" t="str">
        <x:v>邮筒</x:v>
      </x:c>
      <x:c r="F318" s="128" t="str">
        <x:v>—</x:v>
      </x:c>
      <x:c r="G318" s="128" t="str">
        <x:v>循环C18/C19：邮寄永久消耗信封或纪念票，形成明确纸品出口。</x:v>
      </x:c>
      <x:c r="H318" s="128" t="str">
        <x:v>接触信封或纪念票时，消耗该物品，直接计分等于其被消耗前的当前分值+6。</x:v>
      </x:c>
      <x:c r="I318" s="128" t="str">
        <x:v>接触信封或纪念票时，消耗该物品，直接计分等于其被消耗前的当前分值+6。</x:v>
      </x:c>
      <x:c r="J318" s="128" t="str">
        <x:v>V5→V6</x:v>
      </x:c>
    </x:row>
    <x:row r="319" ht="30" customHeight="1">
      <x:c r="A319" s="134" t="str">
        <x:v>物品</x:v>
      </x:c>
      <x:c r="B319" s="134" t="str">
        <x:v>I106</x:v>
      </x:c>
      <x:c r="C319" s="134" t="str">
        <x:v>信封</x:v>
      </x:c>
      <x:c r="D319" s="134" t="str">
        <x:v>保留</x:v>
      </x:c>
      <x:c r="E319" s="134" t="str">
        <x:v>信封</x:v>
      </x:c>
      <x:c r="F319" s="134" t="str">
        <x:v>—</x:v>
      </x:c>
      <x:c r="G319" s="134" t="str">
        <x:v>循环C18/C19：盖章后本回合收益，亦可积累永久印章成长。</x:v>
      </x:c>
      <x:c r="H319" s="134" t="str">
        <x:v>结算时，本回合接触过印章时，自身本回合分值+4。</x:v>
      </x:c>
      <x:c r="I319" s="134" t="str">
        <x:v>结算时，本回合接触过印章时，自身本回合分值+4。</x:v>
      </x:c>
      <x:c r="J319" s="134" t="str">
        <x:v>V5→V6</x:v>
      </x:c>
    </x:row>
    <x:row r="320" ht="30" customHeight="1">
      <x:c r="A320" s="128" t="str">
        <x:v>物品</x:v>
      </x:c>
      <x:c r="B320" s="128" t="str">
        <x:v>I107</x:v>
      </x:c>
      <x:c r="C320" s="128" t="str">
        <x:v>拼图块</x:v>
      </x:c>
      <x:c r="D320" s="128" t="str">
        <x:v>保留</x:v>
      </x:c>
      <x:c r="E320" s="128" t="str">
        <x:v>拼图块</x:v>
      </x:c>
      <x:c r="F320" s="128" t="str">
        <x:v>—</x:v>
      </x:c>
      <x:c r="G320" s="128" t="str">
        <x:v>循环C18/C19：唯一同名连通拼装物，移除石堆和多米诺重复方案。</x:v>
      </x:c>
      <x:c r="H320" s="128" t="str">
        <x:v>结算时，自身所在拼图接触组每有1件其他拼图，自身本回合分值+3。</x:v>
      </x:c>
      <x:c r="I320" s="128" t="str">
        <x:v>结算时，自身所在拼图接触组每有1件其他拼图，自身本回合分值+3。</x:v>
      </x:c>
      <x:c r="J320" s="128" t="str">
        <x:v>V5→V6</x:v>
      </x:c>
    </x:row>
    <x:row r="321" ht="38" customHeight="1">
      <x:c r="A321" s="134" t="str">
        <x:v>物品</x:v>
      </x:c>
      <x:c r="B321" s="134" t="str">
        <x:v>I109</x:v>
      </x:c>
      <x:c r="C321" s="134" t="str">
        <x:v>星图</x:v>
      </x:c>
      <x:c r="D321" s="134" t="str">
        <x:v>保留</x:v>
      </x:c>
      <x:c r="E321" s="134" t="str">
        <x:v>星图</x:v>
      </x:c>
      <x:c r="F321" s="134" t="str">
        <x:v>—</x:v>
      </x:c>
      <x:c r="G321" s="134" t="str">
        <x:v>循环C18/C19：唯一读取两种外部增值来源的接触结算核心。</x:v>
      </x:c>
      <x:c r="H321" s="134" t="str">
        <x:v>结算时，与自身接触的物品中，本回合曾被至少2种不同物品增值过的目标，结算倍率+50%。</x:v>
      </x:c>
      <x:c r="I321" s="134" t="str">
        <x:v>结算时，与自身接触的物品中，本回合曾被至少2种不同物品增值过的目标，结算倍率+50%。</x:v>
      </x:c>
      <x:c r="J321" s="134" t="str">
        <x:v>V5→V6</x:v>
      </x:c>
    </x:row>
    <x:row r="322" ht="30" customHeight="1">
      <x:c r="A322" s="128" t="str">
        <x:v>物品</x:v>
      </x:c>
      <x:c r="B322" s="128" t="str">
        <x:v>I111</x:v>
      </x:c>
      <x:c r="C322" s="128" t="str">
        <x:v>秒表</x:v>
      </x:c>
      <x:c r="D322" s="128" t="str">
        <x:v>保留</x:v>
      </x:c>
      <x:c r="E322" s="128" t="str">
        <x:v>秒表</x:v>
      </x:c>
      <x:c r="F322" s="128" t="str">
        <x:v>—</x:v>
      </x:c>
      <x:c r="G322" s="128" t="str">
        <x:v>循环C20：奖励晚接触而非剧烈摇晃，保留时间控制玩法。</x:v>
      </x:c>
      <x:c r="H322" s="128" t="str">
        <x:v>首次接触其他物品时，自身本回合分值增加本回合已经过去的整秒数。</x:v>
      </x:c>
      <x:c r="I322" s="128" t="str">
        <x:v>首次接触其他物品时，自身本回合分值增加本回合已经过去的整秒数。</x:v>
      </x:c>
      <x:c r="J322" s="128" t="str">
        <x:v>V5→V6</x:v>
      </x:c>
    </x:row>
    <x:row r="323" ht="30" customHeight="1">
      <x:c r="A323" s="134" t="str">
        <x:v>物品</x:v>
      </x:c>
      <x:c r="B323" s="134" t="str">
        <x:v>I113</x:v>
      </x:c>
      <x:c r="C323" s="134" t="str">
        <x:v>年轮树</x:v>
      </x:c>
      <x:c r="D323" s="134" t="str">
        <x:v>保留</x:v>
      </x:c>
      <x:c r="E323" s="134" t="str">
        <x:v>年轮树</x:v>
      </x:c>
      <x:c r="F323" s="134" t="str">
        <x:v>—</x:v>
      </x:c>
      <x:c r="G323" s="134" t="str">
        <x:v>循环C20：仍会生长的树改名年轮树，避免死树桩自行增值的生命状态歧义。</x:v>
      </x:c>
      <x:c r="H323" s="134" t="str">
        <x:v>结算结束时，本回合从牌库抽中且存活时，自身永久基础分+1。</x:v>
      </x:c>
      <x:c r="I323" s="134" t="str">
        <x:v>结算结束时，本回合从牌库抽中且存活时，自身永久基础分+1。</x:v>
      </x:c>
      <x:c r="J323" s="134" t="str">
        <x:v>V5→V6</x:v>
      </x:c>
    </x:row>
    <x:row r="324" ht="30" customHeight="1">
      <x:c r="A324" s="128" t="str">
        <x:v>物品</x:v>
      </x:c>
      <x:c r="B324" s="128" t="str">
        <x:v>I114</x:v>
      </x:c>
      <x:c r="C324" s="128" t="str">
        <x:v>年轮盘</x:v>
      </x:c>
      <x:c r="D324" s="128" t="str">
        <x:v>保留</x:v>
      </x:c>
      <x:c r="E324" s="128" t="str">
        <x:v>年轮盘</x:v>
      </x:c>
      <x:c r="F324" s="128" t="str">
        <x:v>—</x:v>
      </x:c>
      <x:c r="G324" s="128" t="str">
        <x:v>循环C20：按接触的已成长对象计分，作为成长队伍观察者。</x:v>
      </x:c>
      <x:c r="H324" s="128" t="str">
        <x:v>结算时，每接触1件永久基础分至少6的成长物品，自身本回合分值+4。</x:v>
      </x:c>
      <x:c r="I324" s="128" t="str">
        <x:v>结算时，每接触1件永久基础分至少6的成长物品，自身本回合分值+4。</x:v>
      </x:c>
      <x:c r="J324" s="128" t="str">
        <x:v>V5→V6</x:v>
      </x:c>
    </x:row>
    <x:row r="325" ht="30" customHeight="1">
      <x:c r="A325" s="134" t="str">
        <x:v>物品</x:v>
      </x:c>
      <x:c r="B325" s="134" t="str">
        <x:v>I115</x:v>
      </x:c>
      <x:c r="C325" s="134" t="str">
        <x:v>时光胶囊</x:v>
      </x:c>
      <x:c r="D325" s="134" t="str">
        <x:v>保留</x:v>
      </x:c>
      <x:c r="E325" s="134" t="str">
        <x:v>时光胶囊</x:v>
      </x:c>
      <x:c r="F325" s="134" t="str">
        <x:v>—</x:v>
      </x:c>
      <x:c r="G325" s="134" t="str">
        <x:v>循环C20：累积存活出场后永久变形，区别于基础分线性成长。</x:v>
      </x:c>
      <x:c r="H325" s="134" t="str">
        <x:v>结算结束时，若自身存活，出场次数+1；累计达到3次时，永久变形为古物奖章。</x:v>
      </x:c>
      <x:c r="I325" s="134" t="str">
        <x:v>结算结束时，若自身存活，出场次数+1；累计达到3次时，永久变形为古物奖章。</x:v>
      </x:c>
      <x:c r="J325" s="134" t="str">
        <x:v>V5→V6</x:v>
      </x:c>
    </x:row>
    <x:row r="326" ht="38" customHeight="1">
      <x:c r="A326" s="128" t="str">
        <x:v>物品</x:v>
      </x:c>
      <x:c r="B326" s="128" t="str">
        <x:v>I116</x:v>
      </x:c>
      <x:c r="C326" s="128" t="str">
        <x:v>放大镜</x:v>
      </x:c>
      <x:c r="D326" s="128" t="str">
        <x:v>保留</x:v>
      </x:c>
      <x:c r="E326" s="128" t="str">
        <x:v>放大镜</x:v>
      </x:c>
      <x:c r="F326" s="128" t="str">
        <x:v>—</x:v>
      </x:c>
      <x:c r="G326" s="128" t="str">
        <x:v>循环C20：放大镜统一增强接触的高分目标，不再无依据地排除工具。</x:v>
      </x:c>
      <x:c r="H326" s="128" t="str">
        <x:v>结算时，与自身接触的物品中，冻结分值最高者结算倍率+100%，但该冻结分值需至少为8。</x:v>
      </x:c>
      <x:c r="I326" s="128" t="str">
        <x:v>结算时，与自身接触的物品中，冻结分值最高者结算倍率+100%，但该冻结分值需至少为8。</x:v>
      </x:c>
      <x:c r="J326" s="128" t="str">
        <x:v>V5→V6</x:v>
      </x:c>
    </x:row>
    <x:row r="327" ht="30" customHeight="1">
      <x:c r="A327" s="134" t="str">
        <x:v>物品</x:v>
      </x:c>
      <x:c r="B327" s="134" t="str">
        <x:v>I117</x:v>
      </x:c>
      <x:c r="C327" s="134" t="str">
        <x:v>指挥旗</x:v>
      </x:c>
      <x:c r="D327" s="134" t="str">
        <x:v>保留</x:v>
      </x:c>
      <x:c r="E327" s="134" t="str">
        <x:v>指挥旗</x:v>
      </x:c>
      <x:c r="F327" s="134" t="str">
        <x:v>—</x:v>
      </x:c>
      <x:c r="G327" s="134" t="str">
        <x:v>循环C20：照顾低分接触对象，区别于高分核心放大。</x:v>
      </x:c>
      <x:c r="H327" s="134" t="str">
        <x:v>结算时，与自身接触的物品中，冻结分值最低的2件各本回合分值+4。</x:v>
      </x:c>
      <x:c r="I327" s="134" t="str">
        <x:v>结算时，与自身接触的物品中，冻结分值最低的2件各本回合分值+4。</x:v>
      </x:c>
      <x:c r="J327" s="134" t="str">
        <x:v>V5→V6</x:v>
      </x:c>
    </x:row>
    <x:row r="328" ht="38" customHeight="1">
      <x:c r="A328" s="128" t="str">
        <x:v>物品</x:v>
      </x:c>
      <x:c r="B328" s="128" t="str">
        <x:v>I118</x:v>
      </x:c>
      <x:c r="C328" s="128" t="str">
        <x:v>平衡秤</x:v>
      </x:c>
      <x:c r="D328" s="128" t="str">
        <x:v>保留</x:v>
      </x:c>
      <x:c r="E328" s="128" t="str">
        <x:v>平衡秤</x:v>
      </x:c>
      <x:c r="F328" s="128" t="str">
        <x:v>—</x:v>
      </x:c>
      <x:c r="G328" s="128" t="str">
        <x:v>循环C20：按冻结分值差距补低，与固定加分和单体倍率不同。</x:v>
      </x:c>
      <x:c r="H328" s="128" t="str">
        <x:v>结算时，比较与自身接触的物品中最高和最低冻结分值，使最低者本回合分值增加差值的一半，向下取整。</x:v>
      </x:c>
      <x:c r="I328" s="128" t="str">
        <x:v>结算时，比较与自身接触的物品中最高和最低冻结分值，使最低者本回合分值增加差值的一半，向下取整。</x:v>
      </x:c>
      <x:c r="J328" s="128" t="str">
        <x:v>V5→V6</x:v>
      </x:c>
    </x:row>
    <x:row r="329" ht="30" customHeight="1">
      <x:c r="A329" s="134" t="str">
        <x:v>物品</x:v>
      </x:c>
      <x:c r="B329" s="134" t="str">
        <x:v>I119</x:v>
      </x:c>
      <x:c r="C329" s="134" t="str">
        <x:v>吊床</x:v>
      </x:c>
      <x:c r="D329" s="134" t="str">
        <x:v>保留</x:v>
      </x:c>
      <x:c r="E329" s="134" t="str">
        <x:v>吊床</x:v>
      </x:c>
      <x:c r="F329" s="134" t="str">
        <x:v>—</x:v>
      </x:c>
      <x:c r="G329" s="134" t="str">
        <x:v>循环C20：吊床以两株植物作为支撑，不再读取难观察的接触历史次数。</x:v>
      </x:c>
      <x:c r="H329" s="134" t="str">
        <x:v>结算时，若自身与至少2株植物接触，自身本回合分值+6。</x:v>
      </x:c>
      <x:c r="I329" s="134" t="str">
        <x:v>结算时，若自身与至少2株植物接触，自身本回合分值+6。</x:v>
      </x:c>
      <x:c r="J329" s="134" t="str">
        <x:v>V5→V6</x:v>
      </x:c>
    </x:row>
    <x:row r="330" ht="38" customHeight="1">
      <x:c r="A330" s="128" t="str">
        <x:v>物品</x:v>
      </x:c>
      <x:c r="B330" s="128" t="str">
        <x:v>I120</x:v>
      </x:c>
      <x:c r="C330" s="128" t="str">
        <x:v>桂冠</x:v>
      </x:c>
      <x:c r="D330" s="128" t="str">
        <x:v>保留</x:v>
      </x:c>
      <x:c r="E330" s="128" t="str">
        <x:v>桂冠</x:v>
      </x:c>
      <x:c r="F330" s="128" t="str">
        <x:v>—</x:v>
      </x:c>
      <x:c r="G330" s="128" t="str">
        <x:v>循环C20：全瓶唯一最高分核心，与局部放大镜的范围和并列条件不同。</x:v>
      </x:c>
      <x:c r="H330" s="128" t="str">
        <x:v>结算时，瓶中冻结分值唯一最高的物品结算倍率+100%；若其永久基础分至少为10，则该物品结算倍率再+50%。</x:v>
      </x:c>
      <x:c r="I330" s="128" t="str">
        <x:v>结算时，瓶中冻结分值唯一最高的物品结算倍率+100%；若其永久基础分至少为10，则该物品结算倍率再+50%。</x:v>
      </x:c>
      <x:c r="J330" s="128" t="str">
        <x:v>V5→V6</x:v>
      </x:c>
    </x:row>
    <x:row r="331" ht="30" customHeight="1">
      <x:c r="A331" s="134" t="str">
        <x:v>物品</x:v>
      </x:c>
      <x:c r="B331" s="134" t="str">
        <x:v>I121</x:v>
      </x:c>
      <x:c r="C331" s="134" t="str">
        <x:v>剪毛剪</x:v>
      </x:c>
      <x:c r="D331" s="134" t="str">
        <x:v>保留</x:v>
      </x:c>
      <x:c r="E331" s="134" t="str">
        <x:v>剪毛剪</x:v>
      </x:c>
      <x:c r="F331" s="134" t="str">
        <x:v>—</x:v>
      </x:c>
      <x:c r="G331" s="134" t="str">
        <x:v>循环C03/C04/C05：羊毛生产的专用工具，同时小幅增强绵羊。</x:v>
      </x:c>
      <x:c r="H331" s="134" t="str">
        <x:v>接触绵羊时，使该绵羊本回合分值+2。</x:v>
      </x:c>
      <x:c r="I331" s="134" t="str">
        <x:v>接触绵羊时，使该绵羊本回合分值+2。</x:v>
      </x:c>
      <x:c r="J331" s="134" t="str">
        <x:v>V5→V6</x:v>
      </x:c>
    </x:row>
    <x:row r="332" ht="30" customHeight="1">
      <x:c r="A332" s="128" t="str">
        <x:v>物品</x:v>
      </x:c>
      <x:c r="B332" s="128" t="str">
        <x:v>P001</x:v>
      </x:c>
      <x:c r="C332" s="128" t="str">
        <x:v>热餐</x:v>
      </x:c>
      <x:c r="D332" s="128" t="str">
        <x:v>保留</x:v>
      </x:c>
      <x:c r="E332" s="128" t="str">
        <x:v>热餐</x:v>
      </x:c>
      <x:c r="F332" s="128" t="str">
        <x:v>—</x:v>
      </x:c>
      <x:c r="G332" s="128" t="str">
        <x:v>循环C02：食材加工的稳定产物，无食材标签，避免反复烹饪。</x:v>
      </x:c>
      <x:c r="H332" s="128" t="str">
        <x:v>无主动效果。</x:v>
      </x:c>
      <x:c r="I332" s="128" t="str">
        <x:v>无主动效果。</x:v>
      </x:c>
      <x:c r="J332" s="128" t="str">
        <x:v>V5→V6</x:v>
      </x:c>
    </x:row>
    <x:row r="333" ht="38" customHeight="1">
      <x:c r="A333" s="134" t="str">
        <x:v>物品</x:v>
      </x:c>
      <x:c r="B333" s="134" t="str">
        <x:v>P003</x:v>
      </x:c>
      <x:c r="C333" s="134" t="str">
        <x:v>水珠</x:v>
      </x:c>
      <x:c r="D333" s="134" t="str">
        <x:v>调整</x:v>
      </x:c>
      <x:c r="E333" s="134" t="str">
        <x:v>水珠</x:v>
      </x:c>
      <x:c r="F333" s="134" t="str">
        <x:v>—</x:v>
      </x:c>
      <x:c r="G333" s="134" t="str">
        <x:v>增加机械供水并同步回收上限；水珠仍不进入三选一，避免用低收益原料挤占构筑选择。</x:v>
      </x:c>
      <x:c r="H333" s="134" t="str">
        <x:v>无主动效果。</x:v>
      </x:c>
      <x:c r="I333" s="134" t="str">
        <x:v>无主动效果。</x:v>
      </x:c>
      <x:c r="J333" s="134" t="str">
        <x:v>V5→V6</x:v>
      </x:c>
    </x:row>
    <x:row r="334" ht="30" customHeight="1">
      <x:c r="A334" s="128" t="str">
        <x:v>物品</x:v>
      </x:c>
      <x:c r="B334" s="128" t="str">
        <x:v>P004</x:v>
      </x:c>
      <x:c r="C334" s="128" t="str">
        <x:v>花株</x:v>
      </x:c>
      <x:c r="D334" s="128" t="str">
        <x:v>保留</x:v>
      </x:c>
      <x:c r="E334" s="128" t="str">
        <x:v>花株</x:v>
      </x:c>
      <x:c r="F334" s="128" t="str">
        <x:v>—</x:v>
      </x:c>
      <x:c r="G334" s="128" t="str">
        <x:v>循环C01/C02/C03/C06：对应幼苗浇水后的成熟开花形态，补充可授粉标签。</x:v>
      </x:c>
      <x:c r="H334" s="128" t="str">
        <x:v>结算时，若自身与其他植物接触，自身本回合分值+2。</x:v>
      </x:c>
      <x:c r="I334" s="128" t="str">
        <x:v>结算时，若自身与其他植物接触，自身本回合分值+2。</x:v>
      </x:c>
      <x:c r="J334" s="128" t="str">
        <x:v>V5→V6</x:v>
      </x:c>
    </x:row>
    <x:row r="335" ht="30" customHeight="1">
      <x:c r="A335" s="134" t="str">
        <x:v>物品</x:v>
      </x:c>
      <x:c r="B335" s="134" t="str">
        <x:v>P005</x:v>
      </x:c>
      <x:c r="C335" s="134" t="str">
        <x:v>葡萄</x:v>
      </x:c>
      <x:c r="D335" s="134" t="str">
        <x:v>保留</x:v>
      </x:c>
      <x:c r="E335" s="134" t="str">
        <x:v>葡萄</x:v>
      </x:c>
      <x:c r="F335" s="134" t="str">
        <x:v>—</x:v>
      </x:c>
      <x:c r="G335" s="134" t="str">
        <x:v>循环C01/C02/C03/C06：摘下的葡萄是食材，不再参与植物培养或授粉。</x:v>
      </x:c>
      <x:c r="H335" s="134" t="str">
        <x:v>无主动效果。</x:v>
      </x:c>
      <x:c r="I335" s="134" t="str">
        <x:v>无主动效果。</x:v>
      </x:c>
      <x:c r="J335" s="134" t="str">
        <x:v>V5→V6</x:v>
      </x:c>
    </x:row>
    <x:row r="336" ht="30" customHeight="1">
      <x:c r="A336" s="128" t="str">
        <x:v>物品</x:v>
      </x:c>
      <x:c r="B336" s="128" t="str">
        <x:v>P006</x:v>
      </x:c>
      <x:c r="C336" s="128" t="str">
        <x:v>苹果</x:v>
      </x:c>
      <x:c r="D336" s="128" t="str">
        <x:v>保留</x:v>
      </x:c>
      <x:c r="E336" s="128" t="str">
        <x:v>苹果</x:v>
      </x:c>
      <x:c r="F336" s="128" t="str">
        <x:v>—</x:v>
      </x:c>
      <x:c r="G336" s="128" t="str">
        <x:v>循环C01/C02/C03/C06：摘下的苹果是食材，不再参与植物培养或授粉。</x:v>
      </x:c>
      <x:c r="H336" s="128" t="str">
        <x:v>无主动效果。</x:v>
      </x:c>
      <x:c r="I336" s="128" t="str">
        <x:v>无主动效果。</x:v>
      </x:c>
      <x:c r="J336" s="128" t="str">
        <x:v>V5→V6</x:v>
      </x:c>
    </x:row>
    <x:row r="337" ht="30" customHeight="1">
      <x:c r="A337" s="134" t="str">
        <x:v>物品</x:v>
      </x:c>
      <x:c r="B337" s="134" t="str">
        <x:v>P007</x:v>
      </x:c>
      <x:c r="C337" s="134" t="str">
        <x:v>蜂蜜</x:v>
      </x:c>
      <x:c r="D337" s="134" t="str">
        <x:v>保留</x:v>
      </x:c>
      <x:c r="E337" s="134" t="str">
        <x:v>蜂蜜</x:v>
      </x:c>
      <x:c r="F337" s="134" t="str">
        <x:v>—</x:v>
      </x:c>
      <x:c r="G337" s="134" t="str">
        <x:v>循环C01/C02/C03/C06：授粉后的食材商品，可进入烹饪或交易。</x:v>
      </x:c>
      <x:c r="H337" s="134" t="str">
        <x:v>无主动效果。</x:v>
      </x:c>
      <x:c r="I337" s="134" t="str">
        <x:v>无主动效果。</x:v>
      </x:c>
      <x:c r="J337" s="134" t="str">
        <x:v>V5→V6</x:v>
      </x:c>
    </x:row>
    <x:row r="338" ht="38" customHeight="1">
      <x:c r="A338" s="128" t="str">
        <x:v>物品</x:v>
      </x:c>
      <x:c r="B338" s="128" t="str">
        <x:v>P008</x:v>
      </x:c>
      <x:c r="C338" s="128" t="str">
        <x:v>蛋</x:v>
      </x:c>
      <x:c r="D338" s="128" t="str">
        <x:v>调整</x:v>
      </x:c>
      <x:c r="E338" s="128" t="str">
        <x:v>蛋</x:v>
      </x:c>
      <x:c r="F338" s="128" t="str">
        <x:v>—</x:v>
      </x:c>
      <x:c r="G338" s="128" t="str">
        <x:v>用户确认三次存活结算孵化，取消额外设备和火源。第3次仍按蛋计分，结束后变形。</x:v>
      </x:c>
      <x:c r="H338" s="128" t="str">
        <x:v>无主动效果。</x:v>
      </x:c>
      <x:c r="I338" s="128" t="str">
        <x:v>结算结束时，若自身存活，孵化进度+1；达到3时，永久变形为1只雏鸡。</x:v>
      </x:c>
      <x:c r="J338" s="128" t="str">
        <x:v>V5→V6</x:v>
      </x:c>
    </x:row>
    <x:row r="339" ht="30" customHeight="1">
      <x:c r="A339" s="134" t="str">
        <x:v>物品</x:v>
      </x:c>
      <x:c r="B339" s="134" t="str">
        <x:v>P009</x:v>
      </x:c>
      <x:c r="C339" s="134" t="str">
        <x:v>牛奶</x:v>
      </x:c>
      <x:c r="D339" s="134" t="str">
        <x:v>保留</x:v>
      </x:c>
      <x:c r="E339" s="134" t="str">
        <x:v>牛奶</x:v>
      </x:c>
      <x:c r="F339" s="134" t="str">
        <x:v>—</x:v>
      </x:c>
      <x:c r="G339" s="134" t="str">
        <x:v>循环C03/C04/C05：奶牛产物，支持食材与商品两种用途。</x:v>
      </x:c>
      <x:c r="H339" s="134" t="str">
        <x:v>无主动效果。</x:v>
      </x:c>
      <x:c r="I339" s="134" t="str">
        <x:v>无主动效果。</x:v>
      </x:c>
      <x:c r="J339" s="134" t="str">
        <x:v>V5→V6</x:v>
      </x:c>
    </x:row>
    <x:row r="340" ht="30" customHeight="1">
      <x:c r="A340" s="128" t="str">
        <x:v>物品</x:v>
      </x:c>
      <x:c r="B340" s="128" t="str">
        <x:v>P010</x:v>
      </x:c>
      <x:c r="C340" s="128" t="str">
        <x:v>羊毛</x:v>
      </x:c>
      <x:c r="D340" s="128" t="str">
        <x:v>保留</x:v>
      </x:c>
      <x:c r="E340" s="128" t="str">
        <x:v>羊毛</x:v>
      </x:c>
      <x:c r="F340" s="128" t="str">
        <x:v>—</x:v>
      </x:c>
      <x:c r="G340" s="128" t="str">
        <x:v>循环C03/C04/C05：绵羊与剪毛剪的永久产物，保留交易用途。</x:v>
      </x:c>
      <x:c r="H340" s="128" t="str">
        <x:v>无主动效果。</x:v>
      </x:c>
      <x:c r="I340" s="128" t="str">
        <x:v>无主动效果。</x:v>
      </x:c>
      <x:c r="J340" s="128" t="str">
        <x:v>V5→V6</x:v>
      </x:c>
    </x:row>
    <x:row r="341" ht="38" customHeight="1">
      <x:c r="A341" s="134" t="str">
        <x:v>物品</x:v>
      </x:c>
      <x:c r="B341" s="134" t="str">
        <x:v>P011</x:v>
      </x:c>
      <x:c r="C341" s="134" t="str">
        <x:v>雏鸟</x:v>
      </x:c>
      <x:c r="D341" s="134" t="str">
        <x:v>调整</x:v>
      </x:c>
      <x:c r="E341" s="134" t="str">
        <x:v>雏鸡</x:v>
      </x:c>
      <x:c r="F341" s="134" t="str">
        <x:v>—</x:v>
      </x:c>
      <x:c r="G341" s="134" t="str">
        <x:v>雏鸟明确改称雏鸡；基础分6提高到8，使孵化成长有可见收益；作为动物终点，不自动长成母鸡。</x:v>
      </x:c>
      <x:c r="H341" s="134" t="str">
        <x:v>无主动效果。</x:v>
      </x:c>
      <x:c r="I341" s="134" t="str">
        <x:v>无主动效果。</x:v>
      </x:c>
      <x:c r="J341" s="134" t="str">
        <x:v>V5→V6</x:v>
      </x:c>
    </x:row>
    <x:row r="342" ht="30" customHeight="1">
      <x:c r="A342" s="128" t="str">
        <x:v>物品</x:v>
      </x:c>
      <x:c r="B342" s="128" t="str">
        <x:v>P012</x:v>
      </x:c>
      <x:c r="C342" s="128" t="str">
        <x:v>彩翼蝶</x:v>
      </x:c>
      <x:c r="D342" s="128" t="str">
        <x:v>保留</x:v>
      </x:c>
      <x:c r="E342" s="128" t="str">
        <x:v>彩翼蝶</x:v>
      </x:c>
      <x:c r="F342" s="128" t="str">
        <x:v>—</x:v>
      </x:c>
      <x:c r="G342" s="128" t="str">
        <x:v>循环C03/C04/C05：蝴蝶只辅助开花植物，不给谷物或摘下的水果授粉。</x:v>
      </x:c>
      <x:c r="H342" s="128" t="str">
        <x:v>接触开花植物时，使该植物本回合分值+3。</x:v>
      </x:c>
      <x:c r="I342" s="128" t="str">
        <x:v>接触开花植物时，使该植物本回合分值+3。</x:v>
      </x:c>
      <x:c r="J342" s="128" t="str">
        <x:v>V5→V6</x:v>
      </x:c>
    </x:row>
    <x:row r="343" ht="30" customHeight="1">
      <x:c r="A343" s="134" t="str">
        <x:v>物品</x:v>
      </x:c>
      <x:c r="B343" s="134" t="str">
        <x:v>P013</x:v>
      </x:c>
      <x:c r="C343" s="134" t="str">
        <x:v>矿砂</x:v>
      </x:c>
      <x:c r="D343" s="134" t="str">
        <x:v>保留</x:v>
      </x:c>
      <x:c r="E343" s="134" t="str">
        <x:v>矿砂</x:v>
      </x:c>
      <x:c r="F343" s="134" t="str">
        <x:v>—</x:v>
      </x:c>
      <x:c r="G343" s="134" t="str">
        <x:v>循环C07/C08：明确为待筛选的含矿颗粒，产自矿镐，不由袋子凭空复制。</x:v>
      </x:c>
      <x:c r="H343" s="134" t="str">
        <x:v>无主动效果。</x:v>
      </x:c>
      <x:c r="I343" s="134" t="str">
        <x:v>无主动效果。</x:v>
      </x:c>
      <x:c r="J343" s="134" t="str">
        <x:v>V5→V6</x:v>
      </x:c>
    </x:row>
    <x:row r="344" ht="30" customHeight="1">
      <x:c r="A344" s="128" t="str">
        <x:v>物品</x:v>
      </x:c>
      <x:c r="B344" s="128" t="str">
        <x:v>P014</x:v>
      </x:c>
      <x:c r="C344" s="128" t="str">
        <x:v>晶屑</x:v>
      </x:c>
      <x:c r="D344" s="128" t="str">
        <x:v>保留</x:v>
      </x:c>
      <x:c r="E344" s="128" t="str">
        <x:v>晶屑</x:v>
      </x:c>
      <x:c r="F344" s="128" t="str">
        <x:v>—</x:v>
      </x:c>
      <x:c r="G344" s="128" t="str">
        <x:v>循环C07/C08：同步筛矿、切割与开箱三种来源，切割的基础分特例明确写出。</x:v>
      </x:c>
      <x:c r="H344" s="128" t="str">
        <x:v>无主动效果；宝石切割器生成的晶屑基础分为8。</x:v>
      </x:c>
      <x:c r="I344" s="128" t="str">
        <x:v>无主动效果；宝石切割器生成的晶屑基础分为8。</x:v>
      </x:c>
      <x:c r="J344" s="128" t="str">
        <x:v>V5→V6</x:v>
      </x:c>
    </x:row>
    <x:row r="345" ht="30" customHeight="1">
      <x:c r="A345" s="134" t="str">
        <x:v>物品</x:v>
      </x:c>
      <x:c r="B345" s="134" t="str">
        <x:v>P015</x:v>
      </x:c>
      <x:c r="C345" s="134" t="str">
        <x:v>金砂</x:v>
      </x:c>
      <x:c r="D345" s="134" t="str">
        <x:v>保留</x:v>
      </x:c>
      <x:c r="E345" s="134" t="str">
        <x:v>金砂</x:v>
      </x:c>
      <x:c r="F345" s="134" t="str">
        <x:v>—</x:v>
      </x:c>
      <x:c r="G345" s="134" t="str">
        <x:v>循环C07/C08：筛矿的货币分支，与晶屑宝石分支不同。</x:v>
      </x:c>
      <x:c r="H345" s="134" t="str">
        <x:v>无主动效果。</x:v>
      </x:c>
      <x:c r="I345" s="134" t="str">
        <x:v>无主动效果。</x:v>
      </x:c>
      <x:c r="J345" s="134" t="str">
        <x:v>V5→V6</x:v>
      </x:c>
    </x:row>
    <x:row r="346" ht="30" customHeight="1">
      <x:c r="A346" s="128" t="str">
        <x:v>物品</x:v>
      </x:c>
      <x:c r="B346" s="128" t="str">
        <x:v>P016</x:v>
      </x:c>
      <x:c r="C346" s="128" t="str">
        <x:v>铁锭</x:v>
      </x:c>
      <x:c r="D346" s="128" t="str">
        <x:v>保留</x:v>
      </x:c>
      <x:c r="E346" s="128" t="str">
        <x:v>铁锭</x:v>
      </x:c>
      <x:c r="F346" s="128" t="str">
        <x:v>—</x:v>
      </x:c>
      <x:c r="G346" s="128" t="str">
        <x:v>循环C07/C08：铁矿熔炼得到铁锭，明确支持磁铁；不是不分材质的通用金属。</x:v>
      </x:c>
      <x:c r="H346" s="128" t="str">
        <x:v>无主动效果。</x:v>
      </x:c>
      <x:c r="I346" s="128" t="str">
        <x:v>无主动效果。</x:v>
      </x:c>
      <x:c r="J346" s="128" t="str">
        <x:v>V5→V6</x:v>
      </x:c>
    </x:row>
    <x:row r="347" ht="30" customHeight="1">
      <x:c r="A347" s="134" t="str">
        <x:v>物品</x:v>
      </x:c>
      <x:c r="B347" s="134" t="str">
        <x:v>P017</x:v>
      </x:c>
      <x:c r="C347" s="134" t="str">
        <x:v>火星</x:v>
      </x:c>
      <x:c r="D347" s="134" t="str">
        <x:v>保留</x:v>
      </x:c>
      <x:c r="E347" s="134" t="str">
        <x:v>火星</x:v>
      </x:c>
      <x:c r="F347" s="134" t="str">
        <x:v>—</x:v>
      </x:c>
      <x:c r="G347" s="134" t="str">
        <x:v>循环C01/C09/C10：移除水变火星的换热器来源。</x:v>
      </x:c>
      <x:c r="H347" s="134" t="str">
        <x:v>无主动效果；可为工具点火或满足火元素接触条件。</x:v>
      </x:c>
      <x:c r="I347" s="134" t="str">
        <x:v>无主动效果；可为工具点火或满足火元素接触条件。</x:v>
      </x:c>
      <x:c r="J347" s="134" t="str">
        <x:v>V5→V6</x:v>
      </x:c>
    </x:row>
    <x:row r="348" ht="30" customHeight="1">
      <x:c r="A348" s="128" t="str">
        <x:v>物品</x:v>
      </x:c>
      <x:c r="B348" s="128" t="str">
        <x:v>P018</x:v>
      </x:c>
      <x:c r="C348" s="128" t="str">
        <x:v>礼花</x:v>
      </x:c>
      <x:c r="D348" s="128" t="str">
        <x:v>保留</x:v>
      </x:c>
      <x:c r="E348" s="128" t="str">
        <x:v>礼花</x:v>
      </x:c>
      <x:c r="F348" s="128" t="str">
        <x:v>—</x:v>
      </x:c>
      <x:c r="G348" s="128" t="str">
        <x:v>循环C01/C09/C10：鞭炮的短期爆发产物，拥有真实火元素标签。</x:v>
      </x:c>
      <x:c r="H348" s="128" t="str">
        <x:v>无主动效果。</x:v>
      </x:c>
      <x:c r="I348" s="128" t="str">
        <x:v>无主动效果。</x:v>
      </x:c>
      <x:c r="J348" s="128" t="str">
        <x:v>V5→V6</x:v>
      </x:c>
    </x:row>
    <x:row r="349" ht="38" customHeight="1">
      <x:c r="A349" s="134" t="str">
        <x:v>物品</x:v>
      </x:c>
      <x:c r="B349" s="134" t="str">
        <x:v>P019</x:v>
      </x:c>
      <x:c r="C349" s="134" t="str">
        <x:v>蒸汽</x:v>
      </x:c>
      <x:c r="D349" s="134" t="str">
        <x:v>保留</x:v>
      </x:c>
      <x:c r="E349" s="134" t="str">
        <x:v>蒸汽</x:v>
      </x:c>
      <x:c r="F349" s="134" t="str">
        <x:v>—</x:v>
      </x:c>
      <x:c r="G349" s="134" t="str">
        <x:v>循环C01/C09/C10：蒸汽不再带火元素或水元素标签，不能点火、融冰或浇灌植物。</x:v>
      </x:c>
      <x:c r="H349" s="134" t="str">
        <x:v>无主动效果。</x:v>
      </x:c>
      <x:c r="I349" s="134" t="str">
        <x:v>无主动效果。</x:v>
      </x:c>
      <x:c r="J349" s="134" t="str">
        <x:v>V5→V6</x:v>
      </x:c>
    </x:row>
    <x:row r="350" ht="30" customHeight="1">
      <x:c r="A350" s="128" t="str">
        <x:v>物品</x:v>
      </x:c>
      <x:c r="B350" s="128" t="str">
        <x:v>P020</x:v>
      </x:c>
      <x:c r="C350" s="128" t="str">
        <x:v>零钱</x:v>
      </x:c>
      <x:c r="D350" s="128" t="str">
        <x:v>保留</x:v>
      </x:c>
      <x:c r="E350" s="128" t="str">
        <x:v>零钱</x:v>
      </x:c>
      <x:c r="F350" s="128" t="str">
        <x:v>—</x:v>
      </x:c>
      <x:c r="G350" s="128" t="str">
        <x:v>循环C05/C11：移除已退役礼帽的生成来源。</x:v>
      </x:c>
      <x:c r="H350" s="128" t="str">
        <x:v>无主动效果。</x:v>
      </x:c>
      <x:c r="I350" s="128" t="str">
        <x:v>无主动效果。</x:v>
      </x:c>
      <x:c r="J350" s="128" t="str">
        <x:v>V5→V6</x:v>
      </x:c>
    </x:row>
    <x:row r="351" ht="38" customHeight="1">
      <x:c r="A351" s="134" t="str">
        <x:v>物品</x:v>
      </x:c>
      <x:c r="B351" s="134" t="str">
        <x:v>P021</x:v>
      </x:c>
      <x:c r="C351" s="134" t="str">
        <x:v>纸影</x:v>
      </x:c>
      <x:c r="D351" s="134" t="str">
        <x:v>调整</x:v>
      </x:c>
      <x:c r="E351" s="134" t="str">
        <x:v>纸影</x:v>
      </x:c>
      <x:c r="F351" s="134" t="str">
        <x:v>—</x:v>
      </x:c>
      <x:c r="G351" s="134" t="str">
        <x:v>纸影由带充能的复印机持续提供，烧毁形象后留下幽灵，使灵魂消耗链有续航来源；不复制商品技能。</x:v>
      </x:c>
      <x:c r="H351" s="134" t="str">
        <x:v>基础分为复印机目标当时的当前分值，上限12；不复制能力或其他标签。</x:v>
      </x:c>
      <x:c r="I351" s="134" t="str">
        <x:v>基础分等于复印机目标当时的当前分值，上限12。被焚化炉消耗时，生成1个幽灵。</x:v>
      </x:c>
      <x:c r="J351" s="134" t="str">
        <x:v>V5→V6</x:v>
      </x:c>
    </x:row>
    <x:row r="352" ht="38" customHeight="1">
      <x:c r="A352" s="128" t="str">
        <x:v>物品</x:v>
      </x:c>
      <x:c r="B352" s="128" t="str">
        <x:v>P022</x:v>
      </x:c>
      <x:c r="C352" s="128" t="str">
        <x:v>幽灵</x:v>
      </x:c>
      <x:c r="D352" s="128" t="str">
        <x:v>调整</x:v>
      </x:c>
      <x:c r="E352" s="128" t="str">
        <x:v>幽灵</x:v>
      </x:c>
      <x:c r="F352" s="128" t="str">
        <x:v>—</x:v>
      </x:c>
      <x:c r="G352" s="128" t="str">
        <x:v>补充纸影焚烧来源和每回合最多产1个的幽灵之门。幽灵仍为永久物品，未及时消耗会稀释牌库。</x:v>
      </x:c>
      <x:c r="H352" s="128" t="str">
        <x:v>被消耗时，直接计分2。</x:v>
      </x:c>
      <x:c r="I352" s="128" t="str">
        <x:v>被消耗时，直接计分2。</x:v>
      </x:c>
      <x:c r="J352" s="128" t="str">
        <x:v>V5→V6</x:v>
      </x:c>
    </x:row>
    <x:row r="353" ht="30" customHeight="1">
      <x:c r="A353" s="134" t="str">
        <x:v>物品</x:v>
      </x:c>
      <x:c r="B353" s="134" t="str">
        <x:v>P023</x:v>
      </x:c>
      <x:c r="C353" s="134" t="str">
        <x:v>魂火</x:v>
      </x:c>
      <x:c r="D353" s="134" t="str">
        <x:v>保留</x:v>
      </x:c>
      <x:c r="E353" s="134" t="str">
        <x:v>魂火</x:v>
      </x:c>
      <x:c r="F353" s="134" t="str">
        <x:v>—</x:v>
      </x:c>
      <x:c r="G353" s="134" t="str">
        <x:v>循环C13/C14：纸人或纸影焚化得到的魔法火源，明确临时存在。</x:v>
      </x:c>
      <x:c r="H353" s="134" t="str">
        <x:v>无主动效果。</x:v>
      </x:c>
      <x:c r="I353" s="134" t="str">
        <x:v>无主动效果。</x:v>
      </x:c>
      <x:c r="J353" s="134" t="str">
        <x:v>V5→V6</x:v>
      </x:c>
    </x:row>
    <x:row r="354" ht="30" customHeight="1">
      <x:c r="A354" s="128" t="str">
        <x:v>物品</x:v>
      </x:c>
      <x:c r="B354" s="128" t="str">
        <x:v>P024</x:v>
      </x:c>
      <x:c r="C354" s="128" t="str">
        <x:v>宝藏徽记</x:v>
      </x:c>
      <x:c r="D354" s="128" t="str">
        <x:v>保留</x:v>
      </x:c>
      <x:c r="E354" s="128" t="str">
        <x:v>宝藏徽记</x:v>
      </x:c>
      <x:c r="F354" s="128" t="str">
        <x:v>—</x:v>
      </x:c>
      <x:c r="G354" s="128" t="str">
        <x:v>循环C16/C17：开箱得到的宝石战利品，接入宝石与商品玩法。</x:v>
      </x:c>
      <x:c r="H354" s="128" t="str">
        <x:v>无主动效果。</x:v>
      </x:c>
      <x:c r="I354" s="128" t="str">
        <x:v>无主动效果。</x:v>
      </x:c>
      <x:c r="J354" s="128" t="str">
        <x:v>V5→V6</x:v>
      </x:c>
    </x:row>
    <x:row r="355" ht="30" customHeight="1">
      <x:c r="A355" s="134" t="str">
        <x:v>物品</x:v>
      </x:c>
      <x:c r="B355" s="134" t="str">
        <x:v>P025</x:v>
      </x:c>
      <x:c r="C355" s="134" t="str">
        <x:v>奖杯</x:v>
      </x:c>
      <x:c r="D355" s="134" t="str">
        <x:v>保留</x:v>
      </x:c>
      <x:c r="E355" s="134" t="str">
        <x:v>奖杯</x:v>
      </x:c>
      <x:c r="F355" s="134" t="str">
        <x:v>—</x:v>
      </x:c>
      <x:c r="G355" s="134" t="str">
        <x:v>循环C16/C17：击败巨像得到的高价战利品，不指定含铁材质。</x:v>
      </x:c>
      <x:c r="H355" s="134" t="str">
        <x:v>无主动效果。</x:v>
      </x:c>
      <x:c r="I355" s="134" t="str">
        <x:v>无主动效果。</x:v>
      </x:c>
      <x:c r="J355" s="134" t="str">
        <x:v>V5→V6</x:v>
      </x:c>
    </x:row>
    <x:row r="356" ht="30" customHeight="1">
      <x:c r="A356" s="128" t="str">
        <x:v>物品</x:v>
      </x:c>
      <x:c r="B356" s="128" t="str">
        <x:v>P026</x:v>
      </x:c>
      <x:c r="C356" s="128" t="str">
        <x:v>古物奖章</x:v>
      </x:c>
      <x:c r="D356" s="128" t="str">
        <x:v>保留</x:v>
      </x:c>
      <x:c r="E356" s="128" t="str">
        <x:v>古物奖章</x:v>
      </x:c>
      <x:c r="F356" s="128" t="str">
        <x:v>—</x:v>
      </x:c>
      <x:c r="G356" s="128" t="str">
        <x:v>循环C20：永久变形不是生成，黄玉不能复制时光胶囊的变形成果。</x:v>
      </x:c>
      <x:c r="H356" s="128" t="str">
        <x:v>结算时，自身本回合分值+2；若自身与成长物品接触，自身本回合分值再+4。</x:v>
      </x:c>
      <x:c r="I356" s="128" t="str">
        <x:v>结算时，自身本回合分值+2；若自身与成长物品接触，自身本回合分值再+4。</x:v>
      </x:c>
      <x:c r="J356" s="128" t="str">
        <x:v>V5→V6</x:v>
      </x:c>
    </x:row>
    <x:row r="357" ht="30" customHeight="1">
      <x:c r="A357" s="134" t="str">
        <x:v>物品</x:v>
      </x:c>
      <x:c r="B357" s="134" t="str">
        <x:v>P027</x:v>
      </x:c>
      <x:c r="C357" s="134" t="str">
        <x:v>饼干屑</x:v>
      </x:c>
      <x:c r="D357" s="134" t="str">
        <x:v>保留</x:v>
      </x:c>
      <x:c r="E357" s="134" t="str">
        <x:v>饼干屑</x:v>
      </x:c>
      <x:c r="F357" s="134" t="str">
        <x:v>—</x:v>
      </x:c>
      <x:c r="G357" s="134" t="str">
        <x:v>循环C02：餐后点心属于遗物追加生成，不能再次触发黄玉；同步删去错误来源。</x:v>
      </x:c>
      <x:c r="H357" s="134" t="str">
        <x:v>无主动效果。</x:v>
      </x:c>
      <x:c r="I357" s="134" t="str">
        <x:v>无主动效果。</x:v>
      </x:c>
      <x:c r="J357" s="134" t="str">
        <x:v>V5→V6</x:v>
      </x:c>
    </x:row>
    <x:row r="358" ht="30" customHeight="1">
      <x:c r="A358" s="128" t="str">
        <x:v>物品</x:v>
      </x:c>
      <x:c r="B358" s="128" t="str">
        <x:v>P028</x:v>
      </x:c>
      <x:c r="C358" s="128" t="str">
        <x:v>花粉</x:v>
      </x:c>
      <x:c r="D358" s="128" t="str">
        <x:v>保留</x:v>
      </x:c>
      <x:c r="E358" s="128" t="str">
        <x:v>花粉</x:v>
      </x:c>
      <x:c r="F358" s="128" t="str">
        <x:v>—</x:v>
      </x:c>
      <x:c r="G358" s="128" t="str">
        <x:v>循环C01/C02/C03/C06：花粉不是整株植物，不接受浇灌、温室或成簇奖励。</x:v>
      </x:c>
      <x:c r="H358" s="128" t="str">
        <x:v>无主动效果。</x:v>
      </x:c>
      <x:c r="I358" s="128" t="str">
        <x:v>无主动效果。</x:v>
      </x:c>
      <x:c r="J358" s="128" t="str">
        <x:v>V5→V6</x:v>
      </x:c>
    </x:row>
    <x:row r="359" ht="38" customHeight="1">
      <x:c r="A359" s="134" t="str">
        <x:v>物品</x:v>
      </x:c>
      <x:c r="B359" s="134" t="str">
        <x:v>P029</x:v>
      </x:c>
      <x:c r="C359" s="134" t="str">
        <x:v>双黄蛋</x:v>
      </x:c>
      <x:c r="D359" s="134" t="str">
        <x:v>调整</x:v>
      </x:c>
      <x:c r="E359" s="134" t="str">
        <x:v>双黄蛋</x:v>
      </x:c>
      <x:c r="F359" s="134" t="str">
        <x:v>—</x:v>
      </x:c>
      <x:c r="G359" s="134" t="str">
        <x:v>双黄蛋沿用三次存活结算，只孵化一只雏鸡；价值优势体现在孵化前的基础分。</x:v>
      </x:c>
      <x:c r="H359" s="134" t="str">
        <x:v>在蛋专属条件中视为1颗蛋。</x:v>
      </x:c>
      <x:c r="I359" s="134" t="str">
        <x:v>在蛋专属条件中视为1颗蛋。结算结束时，若自身存活，孵化进度+1；达到3时，永久变形为1只雏鸡。</x:v>
      </x:c>
      <x:c r="J359" s="134" t="str">
        <x:v>V5→V6</x:v>
      </x:c>
    </x:row>
    <x:row r="360" ht="30" customHeight="1">
      <x:c r="A360" s="128" t="str">
        <x:v>物品</x:v>
      </x:c>
      <x:c r="B360" s="128" t="str">
        <x:v>P030</x:v>
      </x:c>
      <x:c r="C360" s="128" t="str">
        <x:v>铁屑</x:v>
      </x:c>
      <x:c r="D360" s="128" t="str">
        <x:v>保留</x:v>
      </x:c>
      <x:c r="E360" s="128" t="str">
        <x:v>铁屑</x:v>
      </x:c>
      <x:c r="F360" s="128" t="str">
        <x:v>—</x:v>
      </x:c>
      <x:c r="G360" s="128" t="str">
        <x:v>循环C07/C08：明确为冶铁边角料；遗物追加产物不再被黄玉追加。</x:v>
      </x:c>
      <x:c r="H360" s="128" t="str">
        <x:v>无主动效果。</x:v>
      </x:c>
      <x:c r="I360" s="128" t="str">
        <x:v>无主动效果。</x:v>
      </x:c>
      <x:c r="J360" s="128" t="str">
        <x:v>V5→V6</x:v>
      </x:c>
    </x:row>
    <x:row r="361" ht="38" customHeight="1">
      <x:c r="A361" s="134" t="str">
        <x:v>物品</x:v>
      </x:c>
      <x:c r="B361" s="134" t="str">
        <x:v>P032</x:v>
      </x:c>
      <x:c r="C361" s="134" t="str">
        <x:v>纪念票</x:v>
      </x:c>
      <x:c r="D361" s="134" t="str">
        <x:v>保留</x:v>
      </x:c>
      <x:c r="E361" s="134" t="str">
        <x:v>纪念票</x:v>
      </x:c>
      <x:c r="F361" s="134" t="str">
        <x:v>—</x:v>
      </x:c>
      <x:c r="G361" s="134" t="str">
        <x:v>循环C18/C19：集邮册属于遗物追加生成，不能再次触发黄玉；同步删去错误来源。</x:v>
      </x:c>
      <x:c r="H361" s="134" t="str">
        <x:v>无主动效果，可被印章增值、邮筒消耗。</x:v>
      </x:c>
      <x:c r="I361" s="134" t="str">
        <x:v>无主动效果，可被印章增值、邮筒消耗。</x:v>
      </x:c>
      <x:c r="J361" s="134" t="str">
        <x:v>V5→V6</x:v>
      </x:c>
    </x:row>
    <x:row r="362" ht="30" customHeight="1">
      <x:c r="A362" s="128" t="str">
        <x:v>遗物</x:v>
      </x:c>
      <x:c r="B362" s="128" t="str">
        <x:v>R001</x:v>
      </x:c>
      <x:c r="C362" s="128" t="str">
        <x:v>家常菜谱</x:v>
      </x:c>
      <x:c r="D362" s="128" t="str">
        <x:v>保留</x:v>
      </x:c>
      <x:c r="E362" s="128" t="str">
        <x:v>家常菜谱</x:v>
      </x:c>
      <x:c r="F362" s="128" t="str">
        <x:v>—</x:v>
      </x:c>
      <x:c r="G362" s="128" t="str">
        <x:v>循环C02：奖励保留调味后的食物，与消耗换分形成选择。</x:v>
      </x:c>
      <x:c r="H362" s="128" t="str">
        <x:v>结算时，本回合被烹饪物品增值过的存活食物，各本回合分值+2。</x:v>
      </x:c>
      <x:c r="I362" s="128" t="str">
        <x:v>结算时，本回合被烹饪物品增值过的存活食物，各本回合分值+2。</x:v>
      </x:c>
      <x:c r="J362" s="128" t="str">
        <x:v>V5→V6</x:v>
      </x:c>
    </x:row>
    <x:row r="363" ht="30" customHeight="1">
      <x:c r="A363" s="134" t="str">
        <x:v>遗物</x:v>
      </x:c>
      <x:c r="B363" s="134" t="str">
        <x:v>R002</x:v>
      </x:c>
      <x:c r="C363" s="134" t="str">
        <x:v>双份调味</x:v>
      </x:c>
      <x:c r="D363" s="134" t="str">
        <x:v>保留</x:v>
      </x:c>
      <x:c r="E363" s="134" t="str">
        <x:v>双份调味</x:v>
      </x:c>
      <x:c r="F363" s="134" t="str">
        <x:v>—</x:v>
      </x:c>
      <x:c r="G363" s="134" t="str">
        <x:v>循环C02：增强原有调味量，不产生新的增值来源事件。</x:v>
      </x:c>
      <x:c r="H363" s="134" t="str">
        <x:v>烹饪物品使食物的本回合分值增加固定数值时，该次增加量+1。</x:v>
      </x:c>
      <x:c r="I363" s="134" t="str">
        <x:v>烹饪物品使食物的本回合分值增加固定数值时，该次增加量+1。</x:v>
      </x:c>
      <x:c r="J363" s="134" t="str">
        <x:v>V5→V6</x:v>
      </x:c>
    </x:row>
    <x:row r="364" ht="30" customHeight="1">
      <x:c r="A364" s="128" t="str">
        <x:v>遗物</x:v>
      </x:c>
      <x:c r="B364" s="128" t="str">
        <x:v>R003</x:v>
      </x:c>
      <x:c r="C364" s="128" t="str">
        <x:v>餐后点心</x:v>
      </x:c>
      <x:c r="D364" s="128" t="str">
        <x:v>保留</x:v>
      </x:c>
      <x:c r="E364" s="128" t="str">
        <x:v>餐后点心</x:v>
      </x:c>
      <x:c r="F364" s="128" t="str">
        <x:v>—</x:v>
      </x:c>
      <x:c r="G364" s="128" t="str">
        <x:v>循环C02：烹饪消耗生成少量餐后残余，禁止饼干屑递归触发。</x:v>
      </x:c>
      <x:c r="H364" s="128" t="str">
        <x:v>食物被烹饪物品消耗时，生成1份饼干屑。</x:v>
      </x:c>
      <x:c r="I364" s="128" t="str">
        <x:v>食物被烹饪物品消耗时，生成1份饼干屑。</x:v>
      </x:c>
      <x:c r="J364" s="128" t="str">
        <x:v>V5→V6</x:v>
      </x:c>
    </x:row>
    <x:row r="365" ht="30" customHeight="1">
      <x:c r="A365" s="134" t="str">
        <x:v>遗物</x:v>
      </x:c>
      <x:c r="B365" s="134" t="str">
        <x:v>R006</x:v>
      </x:c>
      <x:c r="C365" s="134" t="str">
        <x:v>园艺手套</x:v>
      </x:c>
      <x:c r="D365" s="134" t="str">
        <x:v>保留</x:v>
      </x:c>
      <x:c r="E365" s="134" t="str">
        <x:v>园艺手套</x:v>
      </x:c>
      <x:c r="F365" s="134" t="str">
        <x:v>—</x:v>
      </x:c>
      <x:c r="G365" s="134" t="str">
        <x:v>循环C01/C02/C03/C06：奖励植物实际耗水，避免依赖模糊的水元素增值事件。</x:v>
      </x:c>
      <x:c r="H365" s="134" t="str">
        <x:v>植物消耗水珠时，该植物本回合分值+2。</x:v>
      </x:c>
      <x:c r="I365" s="134" t="str">
        <x:v>植物消耗水珠时，该植物本回合分值+2。</x:v>
      </x:c>
      <x:c r="J365" s="134" t="str">
        <x:v>V5→V6</x:v>
      </x:c>
    </x:row>
    <x:row r="366" ht="30" customHeight="1">
      <x:c r="A366" s="128" t="str">
        <x:v>遗物</x:v>
      </x:c>
      <x:c r="B366" s="128" t="str">
        <x:v>R007</x:v>
      </x:c>
      <x:c r="C366" s="128" t="str">
        <x:v>授粉手册</x:v>
      </x:c>
      <x:c r="D366" s="128" t="str">
        <x:v>保留</x:v>
      </x:c>
      <x:c r="E366" s="128" t="str">
        <x:v>授粉手册</x:v>
      </x:c>
      <x:c r="F366" s="128" t="str">
        <x:v>—</x:v>
      </x:c>
      <x:c r="G366" s="128" t="str">
        <x:v>循环C01/C02/C03/C06：授粉只针对开花植物，花粉不会再次作为植物触发授粉。</x:v>
      </x:c>
      <x:c r="H366" s="128" t="str">
        <x:v>蜜蜂或彩翼蝶成功增值开花植物时，临时生成1份花粉。</x:v>
      </x:c>
      <x:c r="I366" s="128" t="str">
        <x:v>蜜蜂或彩翼蝶成功增值开花植物时，临时生成1份花粉。</x:v>
      </x:c>
      <x:c r="J366" s="128" t="str">
        <x:v>V5→V6</x:v>
      </x:c>
    </x:row>
    <x:row r="367" ht="30" customHeight="1">
      <x:c r="A367" s="134" t="str">
        <x:v>遗物</x:v>
      </x:c>
      <x:c r="B367" s="134" t="str">
        <x:v>R008</x:v>
      </x:c>
      <x:c r="C367" s="134" t="str">
        <x:v>雨水桶</x:v>
      </x:c>
      <x:c r="D367" s="134" t="str">
        <x:v>保留</x:v>
      </x:c>
      <x:c r="E367" s="134" t="str">
        <x:v>雨水桶</x:v>
      </x:c>
      <x:c r="F367" s="134" t="str">
        <x:v>—</x:v>
      </x:c>
      <x:c r="G367" s="134" t="str">
        <x:v>循环C01/C02/C03/C06：有限追加液态水，支援会永久耗水的配方。</x:v>
      </x:c>
      <x:c r="H367" s="134" t="str">
        <x:v>本回合第一次正常生成水珠时，追加生成1颗水珠。</x:v>
      </x:c>
      <x:c r="I367" s="134" t="str">
        <x:v>本回合第一次正常生成水珠时，追加生成1颗水珠。</x:v>
      </x:c>
      <x:c r="J367" s="134" t="str">
        <x:v>V5→V6</x:v>
      </x:c>
    </x:row>
    <x:row r="368" ht="30" customHeight="1">
      <x:c r="A368" s="128" t="str">
        <x:v>遗物</x:v>
      </x:c>
      <x:c r="B368" s="128" t="str">
        <x:v>R009</x:v>
      </x:c>
      <x:c r="C368" s="128" t="str">
        <x:v>连根相生</x:v>
      </x:c>
      <x:c r="D368" s="128" t="str">
        <x:v>保留</x:v>
      </x:c>
      <x:c r="E368" s="128" t="str">
        <x:v>连根相生</x:v>
      </x:c>
      <x:c r="F368" s="128" t="str">
        <x:v>—</x:v>
      </x:c>
      <x:c r="G368" s="128" t="str">
        <x:v>循环C01/C02/C03/C06：鼓励活植物连通布局，果实与花粉不再充数。</x:v>
      </x:c>
      <x:c r="H368" s="128" t="str">
        <x:v>结算时，植物接触组含至少4件时，该组植物各本回合分值+4。</x:v>
      </x:c>
      <x:c r="I368" s="128" t="str">
        <x:v>结算时，植物接触组含至少4件时，该组植物各本回合分值+4。</x:v>
      </x:c>
      <x:c r="J368" s="128" t="str">
        <x:v>V5→V6</x:v>
      </x:c>
    </x:row>
    <x:row r="369" ht="38" customHeight="1">
      <x:c r="A369" s="134" t="str">
        <x:v>遗物</x:v>
      </x:c>
      <x:c r="B369" s="134" t="str">
        <x:v>R010</x:v>
      </x:c>
      <x:c r="C369" s="134" t="str">
        <x:v>丰收日历</x:v>
      </x:c>
      <x:c r="D369" s="134" t="str">
        <x:v>保留</x:v>
      </x:c>
      <x:c r="E369" s="134" t="str">
        <x:v>丰收日历</x:v>
      </x:c>
      <x:c r="F369" s="134" t="str">
        <x:v>—</x:v>
      </x:c>
      <x:c r="G369" s="134" t="str">
        <x:v>循环C01/C02/C03/C06：多种活植物支持定向长期培养，有逐实例累计上限。</x:v>
      </x:c>
      <x:c r="H369" s="134" t="str">
        <x:v>结算结束时，瓶中至少有3种不同植物时，其中基础分最低的1件成长植物永久基础分+1。</x:v>
      </x:c>
      <x:c r="I369" s="134" t="str">
        <x:v>结算结束时，瓶中至少有3种不同植物时，其中基础分最低的1件成长植物永久基础分+1。</x:v>
      </x:c>
      <x:c r="J369" s="134" t="str">
        <x:v>V5→V6</x:v>
      </x:c>
    </x:row>
    <x:row r="370" ht="38" customHeight="1">
      <x:c r="A370" s="128" t="str">
        <x:v>遗物</x:v>
      </x:c>
      <x:c r="B370" s="128" t="str">
        <x:v>R011</x:v>
      </x:c>
      <x:c r="C370" s="128" t="str">
        <x:v>加厚草垫</x:v>
      </x:c>
      <x:c r="D370" s="128" t="str">
        <x:v>调整</x:v>
      </x:c>
      <x:c r="E370" s="128" t="str">
        <x:v>加厚草垫</x:v>
      </x:c>
      <x:c r="F370" s="128" t="str">
        <x:v>—</x:v>
      </x:c>
      <x:c r="G370" s="128" t="str">
        <x:v>孵化目标改为雏鸡；本轮孵化发生在结算后，下一次入瓶才能以动物身份受益。</x:v>
      </x:c>
      <x:c r="H370" s="128" t="str">
        <x:v>结算时，母鸡、奶牛、绵羊与雏鸟若与这四种动物中的其他实例接触，其本回合分值+2。</x:v>
      </x:c>
      <x:c r="I370" s="128" t="str">
        <x:v>结算时，母鸡、奶牛、绵羊与雏鸡若与这四种动物中的其他实例接触，其本回合分值+2。</x:v>
      </x:c>
      <x:c r="J370" s="128" t="str">
        <x:v>V5→V6</x:v>
      </x:c>
    </x:row>
    <x:row r="371" ht="30" customHeight="1">
      <x:c r="A371" s="134" t="str">
        <x:v>遗物</x:v>
      </x:c>
      <x:c r="B371" s="134" t="str">
        <x:v>R012</x:v>
      </x:c>
      <x:c r="C371" s="134" t="str">
        <x:v>双黄蛋谱</x:v>
      </x:c>
      <x:c r="D371" s="134" t="str">
        <x:v>调整</x:v>
      </x:c>
      <x:c r="E371" s="134" t="str">
        <x:v>双黄蛋谱</x:v>
      </x:c>
      <x:c r="F371" s="134" t="str">
        <x:v>—</x:v>
      </x:c>
      <x:c r="G371" s="134" t="str">
        <x:v>确认双黄蛋只替换新生成的蛋，孵化进度从0开始，不是复制成熟度。</x:v>
      </x:c>
      <x:c r="H371" s="134" t="str">
        <x:v>每回合第一颗正常生成的蛋改为双黄蛋。</x:v>
      </x:c>
      <x:c r="I371" s="134" t="str">
        <x:v>每回合第一颗正常生成的蛋改为双黄蛋。</x:v>
      </x:c>
      <x:c r="J371" s="134" t="str">
        <x:v>V5→V6</x:v>
      </x:c>
    </x:row>
    <x:row r="372" ht="38" customHeight="1">
      <x:c r="A372" s="128" t="str">
        <x:v>遗物</x:v>
      </x:c>
      <x:c r="B372" s="128" t="str">
        <x:v>R013</x:v>
      </x:c>
      <x:c r="C372" s="128" t="str">
        <x:v>牧场铃铛</x:v>
      </x:c>
      <x:c r="D372" s="128" t="str">
        <x:v>调整</x:v>
      </x:c>
      <x:c r="E372" s="128" t="str">
        <x:v>牧场铃铛</x:v>
      </x:c>
      <x:c r="F372" s="128" t="str">
        <x:v>—</x:v>
      </x:c>
      <x:c r="G372" s="128" t="str">
        <x:v>孵化目标改为雏鸡，孵化本身不触发动物正常生成奖励。</x:v>
      </x:c>
      <x:c r="H372" s="128" t="str">
        <x:v>母鸡、奶牛或绵羊正常生成后，其当前接触的其他母鸡、奶牛、绵羊与雏鸟各本回合分值+1。</x:v>
      </x:c>
      <x:c r="I372" s="128" t="str">
        <x:v>母鸡、奶牛或绵羊正常生成后，其当前接触的其他母鸡、奶牛、绵羊与雏鸡各本回合分值+1。</x:v>
      </x:c>
      <x:c r="J372" s="128" t="str">
        <x:v>V5→V6</x:v>
      </x:c>
    </x:row>
    <x:row r="373" ht="30" customHeight="1">
      <x:c r="A373" s="134" t="str">
        <x:v>遗物</x:v>
      </x:c>
      <x:c r="B373" s="134" t="str">
        <x:v>R014</x:v>
      </x:c>
      <x:c r="C373" s="134" t="str">
        <x:v>营养饲料</x:v>
      </x:c>
      <x:c r="D373" s="134" t="str">
        <x:v>保留</x:v>
      </x:c>
      <x:c r="E373" s="134" t="str">
        <x:v>营养饲料</x:v>
      </x:c>
      <x:c r="F373" s="134" t="str">
        <x:v>—</x:v>
      </x:c>
      <x:c r="G373" s="134" t="str">
        <x:v>循环C03/C04/C05：饲料只对母鸡、奶牛的实际进食触发。</x:v>
      </x:c>
      <x:c r="H373" s="134" t="str">
        <x:v>母鸡或奶牛消耗谷物时，该动物本回合分值+4。</x:v>
      </x:c>
      <x:c r="I373" s="134" t="str">
        <x:v>母鸡或奶牛消耗谷物时，该动物本回合分值+4。</x:v>
      </x:c>
      <x:c r="J373" s="134" t="str">
        <x:v>V5→V6</x:v>
      </x:c>
    </x:row>
    <x:row r="374" ht="38" customHeight="1">
      <x:c r="A374" s="128" t="str">
        <x:v>遗物</x:v>
      </x:c>
      <x:c r="B374" s="128" t="str">
        <x:v>R015</x:v>
      </x:c>
      <x:c r="C374" s="128" t="str">
        <x:v>动物图鉴</x:v>
      </x:c>
      <x:c r="D374" s="128" t="str">
        <x:v>保留</x:v>
      </x:c>
      <x:c r="E374" s="128" t="str">
        <x:v>动物图鉴</x:v>
      </x:c>
      <x:c r="F374" s="128" t="str">
        <x:v>—</x:v>
      </x:c>
      <x:c r="G374" s="128" t="str">
        <x:v>循环C03/C04/C05：统计对象包含哺乳动物和昆虫，改名动物图鉴，与条件保持一致。</x:v>
      </x:c>
      <x:c r="H374" s="128" t="str">
        <x:v>结算时，瓶中至少有4种不同动物时，冻结分值最高的3件动物结算倍率+50%。</x:v>
      </x:c>
      <x:c r="I374" s="128" t="str">
        <x:v>结算时，瓶中至少有4种不同动物时，冻结分值最高的3件动物结算倍率+50%。</x:v>
      </x:c>
      <x:c r="J374" s="128" t="str">
        <x:v>V5→V6</x:v>
      </x:c>
    </x:row>
    <x:row r="375" ht="30" customHeight="1">
      <x:c r="A375" s="134" t="str">
        <x:v>遗物</x:v>
      </x:c>
      <x:c r="B375" s="134" t="str">
        <x:v>R016</x:v>
      </x:c>
      <x:c r="C375" s="134" t="str">
        <x:v>矿工手套</x:v>
      </x:c>
      <x:c r="D375" s="134" t="str">
        <x:v>保留</x:v>
      </x:c>
      <x:c r="E375" s="134" t="str">
        <x:v>矿工手套</x:v>
      </x:c>
      <x:c r="F375" s="134" t="str">
        <x:v>—</x:v>
      </x:c>
      <x:c r="G375" s="134" t="str">
        <x:v>循环C07/C08：移除任意工具增值矿石的依赖，直接强化采矿产量的基础价值。</x:v>
      </x:c>
      <x:c r="H375" s="134" t="str">
        <x:v>矿工镐生成的矿砂，基础分由1改为2。</x:v>
      </x:c>
      <x:c r="I375" s="134" t="str">
        <x:v>矿工镐生成的矿砂，基础分由1改为2。</x:v>
      </x:c>
      <x:c r="J375" s="134" t="str">
        <x:v>V5→V6</x:v>
      </x:c>
    </x:row>
    <x:row r="376" ht="30" customHeight="1">
      <x:c r="A376" s="128" t="str">
        <x:v>遗物</x:v>
      </x:c>
      <x:c r="B376" s="128" t="str">
        <x:v>R017</x:v>
      </x:c>
      <x:c r="C376" s="128" t="str">
        <x:v>边角料箱</x:v>
      </x:c>
      <x:c r="D376" s="128" t="str">
        <x:v>保留</x:v>
      </x:c>
      <x:c r="E376" s="128" t="str">
        <x:v>边角料箱</x:v>
      </x:c>
      <x:c r="F376" s="128" t="str">
        <x:v>—</x:v>
      </x:c>
      <x:c r="G376" s="128" t="str">
        <x:v>循环C07/C08：只有铁矿冶炼留下铁屑，不让原矿、宝石加工凭空产铁。</x:v>
      </x:c>
      <x:c r="H376" s="128" t="str">
        <x:v>熔炉消耗铁矿块时，生成1份铁屑。</x:v>
      </x:c>
      <x:c r="I376" s="128" t="str">
        <x:v>熔炉消耗铁矿块时，生成1份铁屑。</x:v>
      </x:c>
      <x:c r="J376" s="128" t="str">
        <x:v>V5→V6</x:v>
      </x:c>
    </x:row>
    <x:row r="377" ht="30" customHeight="1">
      <x:c r="A377" s="134" t="str">
        <x:v>遗物</x:v>
      </x:c>
      <x:c r="B377" s="134" t="str">
        <x:v>R018</x:v>
      </x:c>
      <x:c r="C377" s="134" t="str">
        <x:v>筛矿网</x:v>
      </x:c>
      <x:c r="D377" s="134" t="str">
        <x:v>保留</x:v>
      </x:c>
      <x:c r="E377" s="134" t="str">
        <x:v>筛矿网</x:v>
      </x:c>
      <x:c r="F377" s="134" t="str">
        <x:v>—</x:v>
      </x:c>
      <x:c r="G377" s="134" t="str">
        <x:v>循环C07/C08：取消强制失去金砂的伪强化；筛网直接奖励实际筛矿。</x:v>
      </x:c>
      <x:c r="H377" s="134" t="str">
        <x:v>筛矿机消耗矿砂时，直接计分3。</x:v>
      </x:c>
      <x:c r="I377" s="134" t="str">
        <x:v>筛矿机消耗矿砂时，直接计分3。</x:v>
      </x:c>
      <x:c r="J377" s="134" t="str">
        <x:v>V5→V6</x:v>
      </x:c>
    </x:row>
    <x:row r="378" ht="30" customHeight="1">
      <x:c r="A378" s="128" t="str">
        <x:v>遗物</x:v>
      </x:c>
      <x:c r="B378" s="128" t="str">
        <x:v>R019</x:v>
      </x:c>
      <x:c r="C378" s="128" t="str">
        <x:v>精炼工艺</x:v>
      </x:c>
      <x:c r="D378" s="128" t="str">
        <x:v>保留</x:v>
      </x:c>
      <x:c r="E378" s="128" t="str">
        <x:v>精炼工艺</x:v>
      </x:c>
      <x:c r="F378" s="128" t="str">
        <x:v>—</x:v>
      </x:c>
      <x:c r="G378" s="128" t="str">
        <x:v>循环C07/C08：改善冶炼产物的长期初始价值，不追溯已有铁锭。</x:v>
      </x:c>
      <x:c r="H378" s="128" t="str">
        <x:v>熔炉生成的铁锭基础分由10改为12。</x:v>
      </x:c>
      <x:c r="I378" s="128" t="str">
        <x:v>熔炉生成的铁锭基础分由10改为12。</x:v>
      </x:c>
      <x:c r="J378" s="128" t="str">
        <x:v>V5→V6</x:v>
      </x:c>
    </x:row>
    <x:row r="379" ht="30" customHeight="1">
      <x:c r="A379" s="134" t="str">
        <x:v>遗物</x:v>
      </x:c>
      <x:c r="B379" s="134" t="str">
        <x:v>R020</x:v>
      </x:c>
      <x:c r="C379" s="134" t="str">
        <x:v>矿脉契约</x:v>
      </x:c>
      <x:c r="D379" s="134" t="str">
        <x:v>保留</x:v>
      </x:c>
      <x:c r="E379" s="134" t="str">
        <x:v>矿脉契约</x:v>
      </x:c>
      <x:c r="F379" s="134" t="str">
        <x:v>—</x:v>
      </x:c>
      <x:c r="G379" s="134" t="str">
        <x:v>循环C07/C08：矿石消耗换宝石与金属结算倍率，支持加工整条链。</x:v>
      </x:c>
      <x:c r="H379" s="134" t="str">
        <x:v>结算时，本回合消耗过至少3件矿石时，所有存活宝石和金属结算倍率+50%。</x:v>
      </x:c>
      <x:c r="I379" s="134" t="str">
        <x:v>结算时，本回合消耗过至少3件矿石时，所有存活宝石和金属结算倍率+50%。</x:v>
      </x:c>
      <x:c r="J379" s="134" t="str">
        <x:v>V5→V6</x:v>
      </x:c>
    </x:row>
    <x:row r="380" ht="30" customHeight="1">
      <x:c r="A380" s="128" t="str">
        <x:v>遗物</x:v>
      </x:c>
      <x:c r="B380" s="128" t="str">
        <x:v>R022</x:v>
      </x:c>
      <x:c r="C380" s="128" t="str">
        <x:v>冷凝管</x:v>
      </x:c>
      <x:c r="D380" s="128" t="str">
        <x:v>调整</x:v>
      </x:c>
      <x:c r="E380" s="128" t="str">
        <x:v>冷凝管</x:v>
      </x:c>
      <x:c r="F380" s="128" t="str">
        <x:v>—</x:v>
      </x:c>
      <x:c r="G380" s="128" t="str">
        <x:v>匹配单台锅炉最多2次加工，使一颗启动水可有限回用两次，降低基础供水竞争。</x:v>
      </x:c>
      <x:c r="H380" s="128" t="str">
        <x:v>本回合第一次正常生成蒸汽时，追加生成1颗水珠。</x:v>
      </x:c>
      <x:c r="I380" s="128" t="str">
        <x:v>蒸汽锅炉正常生成蒸汽时，追加生成1颗水珠。</x:v>
      </x:c>
      <x:c r="J380" s="128" t="str">
        <x:v>V5→V6</x:v>
      </x:c>
    </x:row>
    <x:row r="381" ht="30" customHeight="1">
      <x:c r="A381" s="134" t="str">
        <x:v>遗物</x:v>
      </x:c>
      <x:c r="B381" s="134" t="str">
        <x:v>R023</x:v>
      </x:c>
      <x:c r="C381" s="134" t="str">
        <x:v>双芯烛台</x:v>
      </x:c>
      <x:c r="D381" s="134" t="str">
        <x:v>保留</x:v>
      </x:c>
      <x:c r="E381" s="134" t="str">
        <x:v>双芯烛台</x:v>
      </x:c>
      <x:c r="F381" s="134" t="str">
        <x:v>—</x:v>
      </x:c>
      <x:c r="G381" s="134" t="str">
        <x:v>循环C01/C09/C10：给成功点亮的存活蜡烛固定回报，不复制照明倍率。</x:v>
      </x:c>
      <x:c r="H381" s="134" t="str">
        <x:v>结算结束时，每有1根存活且点亮的蜡烛，直接计分4。</x:v>
      </x:c>
      <x:c r="I381" s="134" t="str">
        <x:v>结算结束时，每有1根存活且点亮的蜡烛，直接计分4。</x:v>
      </x:c>
      <x:c r="J381" s="134" t="str">
        <x:v>V5→V6</x:v>
      </x:c>
    </x:row>
    <x:row r="382" ht="38" customHeight="1">
      <x:c r="A382" s="128" t="str">
        <x:v>遗物</x:v>
      </x:c>
      <x:c r="B382" s="128" t="str">
        <x:v>R025</x:v>
      </x:c>
      <x:c r="C382" s="128" t="str">
        <x:v>烟火庆典</x:v>
      </x:c>
      <x:c r="D382" s="128" t="str">
        <x:v>保留</x:v>
      </x:c>
      <x:c r="E382" s="128" t="str">
        <x:v>烟火庆典</x:v>
      </x:c>
      <x:c r="F382" s="128" t="str">
        <x:v>—</x:v>
      </x:c>
      <x:c r="G382" s="128" t="str">
        <x:v>循环C01/C09/C10：简化为明确的礼花结算奖励，去掉跨三种元素产物的隐蔽门槛。</x:v>
      </x:c>
      <x:c r="H382" s="128" t="str">
        <x:v>结算时，所有存活礼花结算倍率+100%。</x:v>
      </x:c>
      <x:c r="I382" s="128" t="str">
        <x:v>结算时，所有存活礼花结算倍率+100%。</x:v>
      </x:c>
      <x:c r="J382" s="128" t="str">
        <x:v>V5→V6</x:v>
      </x:c>
    </x:row>
    <x:row r="383" ht="30" customHeight="1">
      <x:c r="A383" s="134" t="str">
        <x:v>遗物</x:v>
      </x:c>
      <x:c r="B383" s="134" t="str">
        <x:v>R026</x:v>
      </x:c>
      <x:c r="C383" s="134" t="str">
        <x:v>收据夹</x:v>
      </x:c>
      <x:c r="D383" s="134" t="str">
        <x:v>保留</x:v>
      </x:c>
      <x:c r="E383" s="134" t="str">
        <x:v>收据夹</x:v>
      </x:c>
      <x:c r="F383" s="134" t="str">
        <x:v>—</x:v>
      </x:c>
      <x:c r="G383" s="134" t="str">
        <x:v>循环C05/C11：交易奖励跟随唯一出售入口拍卖槌，不保留收银机的失效引用。</x:v>
      </x:c>
      <x:c r="H383" s="134" t="str">
        <x:v>拍卖槌成功消耗商品时，直接计分3。</x:v>
      </x:c>
      <x:c r="I383" s="134" t="str">
        <x:v>拍卖槌成功消耗商品时，直接计分3。</x:v>
      </x:c>
      <x:c r="J383" s="134" t="str">
        <x:v>V5→V6</x:v>
      </x:c>
    </x:row>
    <x:row r="384" ht="30" customHeight="1">
      <x:c r="A384" s="128" t="str">
        <x:v>遗物</x:v>
      </x:c>
      <x:c r="B384" s="128" t="str">
        <x:v>R027</x:v>
      </x:c>
      <x:c r="C384" s="128" t="str">
        <x:v>分类货签</x:v>
      </x:c>
      <x:c r="D384" s="128" t="str">
        <x:v>保留</x:v>
      </x:c>
      <x:c r="E384" s="128" t="str">
        <x:v>分类货签</x:v>
      </x:c>
      <x:c r="F384" s="128" t="str">
        <x:v>—</x:v>
      </x:c>
      <x:c r="G384" s="128" t="str">
        <x:v>循环C05/C11：商品种类支援集市队伍，和货架实际邻接展示不同。</x:v>
      </x:c>
      <x:c r="H384" s="128" t="str">
        <x:v>结算时，瓶中商品每有1种不同名称，所有存活集市物品本回合分值+1。</x:v>
      </x:c>
      <x:c r="I384" s="128" t="str">
        <x:v>结算时，瓶中商品每有1种不同名称，所有存活集市物品本回合分值+1。</x:v>
      </x:c>
      <x:c r="J384" s="128" t="str">
        <x:v>V5→V6</x:v>
      </x:c>
    </x:row>
    <x:row r="385" ht="30" customHeight="1">
      <x:c r="A385" s="134" t="str">
        <x:v>遗物</x:v>
      </x:c>
      <x:c r="B385" s="134" t="str">
        <x:v>R030</x:v>
      </x:c>
      <x:c r="C385" s="134" t="str">
        <x:v>市集招牌</x:v>
      </x:c>
      <x:c r="D385" s="134" t="str">
        <x:v>保留</x:v>
      </x:c>
      <x:c r="E385" s="134" t="str">
        <x:v>市集招牌</x:v>
      </x:c>
      <x:c r="F385" s="134" t="str">
        <x:v>—</x:v>
      </x:c>
      <x:c r="G385" s="134" t="str">
        <x:v>循环C05/C11：出售高价物后支援市场，需牺牲商品才能达成。</x:v>
      </x:c>
      <x:c r="H385" s="134" t="str">
        <x:v>结算时，本回合拍卖槌消耗过商品时，所有存活集市物品结算倍率+50%。</x:v>
      </x:c>
      <x:c r="I385" s="134" t="str">
        <x:v>结算时，本回合拍卖槌消耗过商品时，所有存活集市物品结算倍率+50%。</x:v>
      </x:c>
      <x:c r="J385" s="134" t="str">
        <x:v>V5→V6</x:v>
      </x:c>
    </x:row>
    <x:row r="386" ht="30" customHeight="1">
      <x:c r="A386" s="128" t="str">
        <x:v>遗物</x:v>
      </x:c>
      <x:c r="B386" s="128" t="str">
        <x:v>R031</x:v>
      </x:c>
      <x:c r="C386" s="128" t="str">
        <x:v>备用电芯</x:v>
      </x:c>
      <x:c r="D386" s="128" t="str">
        <x:v>保留</x:v>
      </x:c>
      <x:c r="E386" s="128" t="str">
        <x:v>备用电芯</x:v>
      </x:c>
      <x:c r="F386" s="128" t="str">
        <x:v>—</x:v>
      </x:c>
      <x:c r="G386" s="128" t="str">
        <x:v>循环C01/C12/C13：增加初始电量预算，不抬高单回合技能次数。</x:v>
      </x:c>
      <x:c r="H386" s="128" t="str">
        <x:v>回合开始时，初始抽取的充能物品各充能+1。</x:v>
      </x:c>
      <x:c r="I386" s="128" t="str">
        <x:v>回合开始时，初始抽取的充能物品各充能+1。</x:v>
      </x:c>
      <x:c r="J386" s="128" t="str">
        <x:v>V5→V6</x:v>
      </x:c>
    </x:row>
    <x:row r="387" ht="30" customHeight="1">
      <x:c r="A387" s="134" t="str">
        <x:v>遗物</x:v>
      </x:c>
      <x:c r="B387" s="134" t="str">
        <x:v>R032</x:v>
      </x:c>
      <x:c r="C387" s="134" t="str">
        <x:v>能量回执</x:v>
      </x:c>
      <x:c r="D387" s="134" t="str">
        <x:v>保留</x:v>
      </x:c>
      <x:c r="E387" s="134" t="str">
        <x:v>能量回执</x:v>
      </x:c>
      <x:c r="F387" s="134" t="str">
        <x:v>—</x:v>
      </x:c>
      <x:c r="G387" s="134" t="str">
        <x:v>循环C01/C12/C13：奖励实际耗能，和并联线圈留能收益形成取舍。</x:v>
      </x:c>
      <x:c r="H387" s="134" t="str">
        <x:v>每实际花费1充能，直接计分1。</x:v>
      </x:c>
      <x:c r="I387" s="134" t="str">
        <x:v>每实际花费1充能，直接计分1。</x:v>
      </x:c>
      <x:c r="J387" s="134" t="str">
        <x:v>V5→V6</x:v>
      </x:c>
    </x:row>
    <x:row r="388" ht="30" customHeight="1">
      <x:c r="A388" s="128" t="str">
        <x:v>遗物</x:v>
      </x:c>
      <x:c r="B388" s="128" t="str">
        <x:v>R033</x:v>
      </x:c>
      <x:c r="C388" s="128" t="str">
        <x:v>节能齿轮</x:v>
      </x:c>
      <x:c r="D388" s="128" t="str">
        <x:v>保留</x:v>
      </x:c>
      <x:c r="E388" s="128" t="str">
        <x:v>节能齿轮</x:v>
      </x:c>
      <x:c r="F388" s="128" t="str">
        <x:v>—</x:v>
      </x:c>
      <x:c r="G388" s="128" t="str">
        <x:v>循环C01/C12/C13：每件首个充能消耗返充一次，不刷新触发预算。</x:v>
      </x:c>
      <x:c r="H388" s="128" t="str">
        <x:v>每件充能物品本回合首次花费充能后，该物品充能+1。</x:v>
      </x:c>
      <x:c r="I388" s="128" t="str">
        <x:v>每件充能物品本回合首次花费充能后，该物品充能+1。</x:v>
      </x:c>
      <x:c r="J388" s="128" t="str">
        <x:v>V5→V6</x:v>
      </x:c>
    </x:row>
    <x:row r="389" ht="30" customHeight="1">
      <x:c r="A389" s="134" t="str">
        <x:v>遗物</x:v>
      </x:c>
      <x:c r="B389" s="134" t="str">
        <x:v>R034</x:v>
      </x:c>
      <x:c r="C389" s="134" t="str">
        <x:v>并联线圈</x:v>
      </x:c>
      <x:c r="D389" s="134" t="str">
        <x:v>保留</x:v>
      </x:c>
      <x:c r="E389" s="134" t="str">
        <x:v>并联线圈</x:v>
      </x:c>
      <x:c r="F389" s="134" t="str">
        <x:v>—</x:v>
      </x:c>
      <x:c r="G389" s="134" t="str">
        <x:v>循环C01/C12/C13：鼓励留存充能，区别于耗能爆发。</x:v>
      </x:c>
      <x:c r="H389" s="134" t="str">
        <x:v>结算时，每件充能物品每剩余1充能，该物品本回合分值+2。</x:v>
      </x:c>
      <x:c r="I389" s="134" t="str">
        <x:v>结算时，每件充能物品每剩余1充能，该物品本回合分值+2。</x:v>
      </x:c>
      <x:c r="J389" s="134" t="str">
        <x:v>V5→V6</x:v>
      </x:c>
    </x:row>
    <x:row r="390" ht="30" customHeight="1">
      <x:c r="A390" s="128" t="str">
        <x:v>遗物</x:v>
      </x:c>
      <x:c r="B390" s="128" t="str">
        <x:v>R035</x:v>
      </x:c>
      <x:c r="C390" s="128" t="str">
        <x:v>过载许可证</x:v>
      </x:c>
      <x:c r="D390" s="128" t="str">
        <x:v>保留</x:v>
      </x:c>
      <x:c r="E390" s="128" t="str">
        <x:v>过载许可证</x:v>
      </x:c>
      <x:c r="F390" s="128" t="str">
        <x:v>—</x:v>
      </x:c>
      <x:c r="G390" s="128" t="str">
        <x:v>循环C01/C12/C13：要求额外补能后达成高耗能，支持重度使用而非闲置。</x:v>
      </x:c>
      <x:c r="H390" s="128" t="str">
        <x:v>结算时，本回合实际累计花费至少3充能的物品，各本回合分值+10。</x:v>
      </x:c>
      <x:c r="I390" s="128" t="str">
        <x:v>结算时，本回合实际累计花费至少3充能的物品，各本回合分值+10。</x:v>
      </x:c>
      <x:c r="J390" s="128" t="str">
        <x:v>V5→V6</x:v>
      </x:c>
    </x:row>
    <x:row r="391" ht="30" customHeight="1">
      <x:c r="A391" s="134" t="str">
        <x:v>遗物</x:v>
      </x:c>
      <x:c r="B391" s="134" t="str">
        <x:v>R036</x:v>
      </x:c>
      <x:c r="C391" s="134" t="str">
        <x:v>悼念花束</x:v>
      </x:c>
      <x:c r="D391" s="134" t="str">
        <x:v>保留</x:v>
      </x:c>
      <x:c r="E391" s="134" t="str">
        <x:v>悼念花束</x:v>
      </x:c>
      <x:c r="F391" s="134" t="str">
        <x:v>—</x:v>
      </x:c>
      <x:c r="G391" s="134" t="str">
        <x:v>循环C13/C14：通用但有限的初始物品消耗补偿，复活不能刷首次收益。</x:v>
      </x:c>
      <x:c r="H391" s="134" t="str">
        <x:v>初始抽取物品本回合第一次被消耗时，直接计分2。</x:v>
      </x:c>
      <x:c r="I391" s="134" t="str">
        <x:v>初始抽取物品本回合第一次被消耗时，直接计分2。</x:v>
      </x:c>
      <x:c r="J391" s="134" t="str">
        <x:v>V5→V6</x:v>
      </x:c>
    </x:row>
    <x:row r="392" ht="30" customHeight="1">
      <x:c r="A392" s="128" t="str">
        <x:v>遗物</x:v>
      </x:c>
      <x:c r="B392" s="128" t="str">
        <x:v>R039</x:v>
      </x:c>
      <x:c r="C392" s="128" t="str">
        <x:v>魂火提灯</x:v>
      </x:c>
      <x:c r="D392" s="128" t="str">
        <x:v>保留</x:v>
      </x:c>
      <x:c r="E392" s="128" t="str">
        <x:v>魂火提灯</x:v>
      </x:c>
      <x:c r="F392" s="128" t="str">
        <x:v>—</x:v>
      </x:c>
      <x:c r="G392" s="128" t="str">
        <x:v>循环C13/C14：多次消耗幽灵后的灵魂结算终点，与保留幽灵路线不同。</x:v>
      </x:c>
      <x:c r="H392" s="128" t="str">
        <x:v>结算时，本回合消耗过至少2个不同幽灵时，所有存活魂火和灵魂石结算倍率+75%。</x:v>
      </x:c>
      <x:c r="I392" s="128" t="str">
        <x:v>结算时，本回合消耗过至少2个不同幽灵时，所有存活魂火和灵魂石结算倍率+75%。</x:v>
      </x:c>
      <x:c r="J392" s="128" t="str">
        <x:v>V5→V6</x:v>
      </x:c>
    </x:row>
    <x:row r="393" ht="30" customHeight="1">
      <x:c r="A393" s="134" t="str">
        <x:v>遗物</x:v>
      </x:c>
      <x:c r="B393" s="134" t="str">
        <x:v>R040</x:v>
      </x:c>
      <x:c r="C393" s="134" t="str">
        <x:v>轮回契约</x:v>
      </x:c>
      <x:c r="D393" s="134" t="str">
        <x:v>保留</x:v>
      </x:c>
      <x:c r="E393" s="134" t="str">
        <x:v>轮回契约</x:v>
      </x:c>
      <x:c r="F393" s="134" t="str">
        <x:v>—</x:v>
      </x:c>
      <x:c r="G393" s="134" t="str">
        <x:v>循环C13/C14：鼓励复活后保住一个目标，不提升复活数量。</x:v>
      </x:c>
      <x:c r="H393" s="134" t="str">
        <x:v>结算时，本回合第一件被轮回匣复活且存活的物品结算倍率+100%。</x:v>
      </x:c>
      <x:c r="I393" s="134" t="str">
        <x:v>结算时，本回合第一件被轮回匣复活且存活的物品结算倍率+100%。</x:v>
      </x:c>
      <x:c r="J393" s="134" t="str">
        <x:v>V5→V6</x:v>
      </x:c>
    </x:row>
    <x:row r="394" ht="30" customHeight="1">
      <x:c r="A394" s="128" t="str">
        <x:v>遗物</x:v>
      </x:c>
      <x:c r="B394" s="128" t="str">
        <x:v>R041</x:v>
      </x:c>
      <x:c r="C394" s="128" t="str">
        <x:v>绒布底座</x:v>
      </x:c>
      <x:c r="D394" s="128" t="str">
        <x:v>保留</x:v>
      </x:c>
      <x:c r="E394" s="128" t="str">
        <x:v>绒布底座</x:v>
      </x:c>
      <x:c r="F394" s="128" t="str">
        <x:v>—</x:v>
      </x:c>
      <x:c r="G394" s="128" t="str">
        <x:v>循环C15：低门槛宝石基础支援，保留作为早期可用选项。</x:v>
      </x:c>
      <x:c r="H394" s="128" t="str">
        <x:v>结算时，所有存活宝石各本回合分值+1。</x:v>
      </x:c>
      <x:c r="I394" s="128" t="str">
        <x:v>结算时，所有存活宝石各本回合分值+1。</x:v>
      </x:c>
      <x:c r="J394" s="128" t="str">
        <x:v>V5→V6</x:v>
      </x:c>
    </x:row>
    <x:row r="395" ht="30" customHeight="1">
      <x:c r="A395" s="134" t="str">
        <x:v>遗物</x:v>
      </x:c>
      <x:c r="B395" s="134" t="str">
        <x:v>R042</x:v>
      </x:c>
      <x:c r="C395" s="134" t="str">
        <x:v>宝石匣谱</x:v>
      </x:c>
      <x:c r="D395" s="134" t="str">
        <x:v>保留</x:v>
      </x:c>
      <x:c r="E395" s="134" t="str">
        <x:v>宝石匣谱</x:v>
      </x:c>
      <x:c r="F395" s="134" t="str">
        <x:v>—</x:v>
      </x:c>
      <x:c r="G395" s="134" t="str">
        <x:v>循环C15：多种宝石支援共鸣物品，区别于接触组条件。</x:v>
      </x:c>
      <x:c r="H395" s="134" t="str">
        <x:v>结算时，瓶中宝石每有1种不同名称，所有存活共鸣物品本回合分值+1。</x:v>
      </x:c>
      <x:c r="I395" s="134" t="str">
        <x:v>结算时，瓶中宝石每有1种不同名称，所有存活共鸣物品本回合分值+1。</x:v>
      </x:c>
      <x:c r="J395" s="134" t="str">
        <x:v>V5→V6</x:v>
      </x:c>
    </x:row>
    <x:row r="396" ht="30" customHeight="1">
      <x:c r="A396" s="128" t="str">
        <x:v>遗物</x:v>
      </x:c>
      <x:c r="B396" s="128" t="str">
        <x:v>R044</x:v>
      </x:c>
      <x:c r="C396" s="128" t="str">
        <x:v>透镜镀膜</x:v>
      </x:c>
      <x:c r="D396" s="128" t="str">
        <x:v>保留</x:v>
      </x:c>
      <x:c r="E396" s="128" t="str">
        <x:v>透镜镀膜</x:v>
      </x:c>
      <x:c r="F396" s="128" t="str">
        <x:v>—</x:v>
      </x:c>
      <x:c r="G396" s="128" t="str">
        <x:v>循环C15：仅强化镜片的读取比例，不新增结算顺序。</x:v>
      </x:c>
      <x:c r="H396" s="128" t="str">
        <x:v>结算时，镜片读取的比例由50%改为75%。</x:v>
      </x:c>
      <x:c r="I396" s="128" t="str">
        <x:v>结算时，镜片读取的比例由50%改为75%。</x:v>
      </x:c>
      <x:c r="J396" s="128" t="str">
        <x:v>V5→V6</x:v>
      </x:c>
    </x:row>
    <x:row r="397" ht="30" customHeight="1">
      <x:c r="A397" s="134" t="str">
        <x:v>遗物</x:v>
      </x:c>
      <x:c r="B397" s="134" t="str">
        <x:v>R045</x:v>
      </x:c>
      <x:c r="C397" s="134" t="str">
        <x:v>七彩折射</x:v>
      </x:c>
      <x:c r="D397" s="134" t="str">
        <x:v>保留</x:v>
      </x:c>
      <x:c r="E397" s="134" t="str">
        <x:v>七彩折射</x:v>
      </x:c>
      <x:c r="F397" s="134" t="str">
        <x:v>—</x:v>
      </x:c>
      <x:c r="G397" s="134" t="str">
        <x:v>循环C15：多种宝石全局倍率终点，不再与鉴定师重复。</x:v>
      </x:c>
      <x:c r="H397" s="134" t="str">
        <x:v>结算时，瓶中至少有5种不同宝石时，所有存活宝石结算倍率+50%。</x:v>
      </x:c>
      <x:c r="I397" s="134" t="str">
        <x:v>结算时，瓶中至少有5种不同宝石时，所有存活宝石结算倍率+50%。</x:v>
      </x:c>
      <x:c r="J397" s="134" t="str">
        <x:v>V5→V6</x:v>
      </x:c>
    </x:row>
    <x:row r="398" ht="30" customHeight="1">
      <x:c r="A398" s="128" t="str">
        <x:v>遗物</x:v>
      </x:c>
      <x:c r="B398" s="128" t="str">
        <x:v>R046</x:v>
      </x:c>
      <x:c r="C398" s="128" t="str">
        <x:v>磨刀石</x:v>
      </x:c>
      <x:c r="D398" s="128" t="str">
        <x:v>调整</x:v>
      </x:c>
      <x:c r="E398" s="128" t="str">
        <x:v>磨刀石</x:v>
      </x:c>
      <x:c r="F398" s="128" t="str">
        <x:v>—</x:v>
      </x:c>
      <x:c r="G398" s="128" t="str">
        <x:v>适配同剑重复接触攻击，按实际伤害给分，木偶停止受伤后不再刷收益。</x:v>
      </x:c>
      <x:c r="H398" s="128" t="str">
        <x:v>木剑实际造成伤害后，该木剑本回合分值+2。</x:v>
      </x:c>
      <x:c r="I398" s="128" t="str">
        <x:v>木剑实际造成伤害后，该木剑本回合分值+2。</x:v>
      </x:c>
      <x:c r="J398" s="128" t="str">
        <x:v>V5→V6</x:v>
      </x:c>
    </x:row>
    <x:row r="399" ht="30" customHeight="1">
      <x:c r="A399" s="134" t="str">
        <x:v>遗物</x:v>
      </x:c>
      <x:c r="B399" s="134" t="str">
        <x:v>R047</x:v>
      </x:c>
      <x:c r="C399" s="134" t="str">
        <x:v>备用钥匙圈</x:v>
      </x:c>
      <x:c r="D399" s="134" t="str">
        <x:v>保留</x:v>
      </x:c>
      <x:c r="E399" s="134" t="str">
        <x:v>备用钥匙圈</x:v>
      </x:c>
      <x:c r="F399" s="134" t="str">
        <x:v>—</x:v>
      </x:c>
      <x:c r="G399" s="134" t="str">
        <x:v>循环C16/C17：有宝箱才补一把永久钥匙，开箱资源能解释。</x:v>
      </x:c>
      <x:c r="H399" s="134" t="str">
        <x:v>回合开始时，若初始抽取中有宝箱，在其中1个宝箱附近生成1把钥匙。</x:v>
      </x:c>
      <x:c r="I399" s="134" t="str">
        <x:v>回合开始时，若初始抽取中有宝箱，在其中1个宝箱附近生成1把钥匙。</x:v>
      </x:c>
      <x:c r="J399" s="134" t="str">
        <x:v>V5→V6</x:v>
      </x:c>
    </x:row>
    <x:row r="400" ht="30" customHeight="1">
      <x:c r="A400" s="128" t="str">
        <x:v>遗物</x:v>
      </x:c>
      <x:c r="B400" s="128" t="str">
        <x:v>R049</x:v>
      </x:c>
      <x:c r="C400" s="128" t="str">
        <x:v>胜利绶带</x:v>
      </x:c>
      <x:c r="D400" s="128" t="str">
        <x:v>保留</x:v>
      </x:c>
      <x:c r="E400" s="128" t="str">
        <x:v>胜利绶带</x:v>
      </x:c>
      <x:c r="F400" s="128" t="str">
        <x:v>—</x:v>
      </x:c>
      <x:c r="G400" s="128" t="str">
        <x:v>循环C16/C17：击败巨像奖励实际参与的武器，不奖励未接触武器。</x:v>
      </x:c>
      <x:c r="H400" s="128" t="str">
        <x:v>守门巨像被击败时，所有实际伤害过它且仍存活的木剑各本回合分值+6。</x:v>
      </x:c>
      <x:c r="I400" s="128" t="str">
        <x:v>守门巨像被击败时，所有实际伤害过它且仍存活的木剑各本回合分值+6。</x:v>
      </x:c>
      <x:c r="J400" s="128" t="str">
        <x:v>V5→V6</x:v>
      </x:c>
    </x:row>
    <x:row r="401" ht="38" customHeight="1">
      <x:c r="A401" s="134" t="str">
        <x:v>遗物</x:v>
      </x:c>
      <x:c r="B401" s="134" t="str">
        <x:v>R050</x:v>
      </x:c>
      <x:c r="C401" s="134" t="str">
        <x:v>探险家勋章</x:v>
      </x:c>
      <x:c r="D401" s="134" t="str">
        <x:v>保留</x:v>
      </x:c>
      <x:c r="E401" s="134" t="str">
        <x:v>探险家勋章</x:v>
      </x:c>
      <x:c r="F401" s="134" t="str">
        <x:v>—</x:v>
      </x:c>
      <x:c r="G401" s="134" t="str">
        <x:v>循环C16/C17：同时完成开箱和战斗的探险终点，达成条件可见。</x:v>
      </x:c>
      <x:c r="H401" s="134" t="str">
        <x:v>结算时，本回合既打开过宝箱又击败过守门巨像时，所有存活探险物品结算倍率+100%。</x:v>
      </x:c>
      <x:c r="I401" s="134" t="str">
        <x:v>结算时，本回合既打开过宝箱又击败过守门巨像时，所有存活探险物品结算倍率+100%。</x:v>
      </x:c>
      <x:c r="J401" s="134" t="str">
        <x:v>V5→V6</x:v>
      </x:c>
    </x:row>
    <x:row r="402" ht="30" customHeight="1">
      <x:c r="A402" s="128" t="str">
        <x:v>遗物</x:v>
      </x:c>
      <x:c r="B402" s="128" t="str">
        <x:v>R051</x:v>
      </x:c>
      <x:c r="C402" s="128" t="str">
        <x:v>印泥</x:v>
      </x:c>
      <x:c r="D402" s="128" t="str">
        <x:v>保留</x:v>
      </x:c>
      <x:c r="E402" s="128" t="str">
        <x:v>印泥</x:v>
      </x:c>
      <x:c r="F402" s="128" t="str">
        <x:v>—</x:v>
      </x:c>
      <x:c r="G402" s="128" t="str">
        <x:v>循环C18/C19：提高盖章带来的收藏价值，合并入原增值事件。</x:v>
      </x:c>
      <x:c r="H402" s="128" t="str">
        <x:v>印章使信封或纪念票的永久基础分增加时，该次增加量+1。</x:v>
      </x:c>
      <x:c r="I402" s="128" t="str">
        <x:v>印章使信封或纪念票的永久基础分增加时，该次增加量+1。</x:v>
      </x:c>
      <x:c r="J402" s="128" t="str">
        <x:v>V5→V6</x:v>
      </x:c>
    </x:row>
    <x:row r="403" ht="30" customHeight="1">
      <x:c r="A403" s="134" t="str">
        <x:v>遗物</x:v>
      </x:c>
      <x:c r="B403" s="134" t="str">
        <x:v>R053</x:v>
      </x:c>
      <x:c r="C403" s="134" t="str">
        <x:v>集邮册</x:v>
      </x:c>
      <x:c r="D403" s="134" t="str">
        <x:v>保留</x:v>
      </x:c>
      <x:c r="E403" s="134" t="str">
        <x:v>集邮册</x:v>
      </x:c>
      <x:c r="F403" s="134" t="str">
        <x:v>—</x:v>
      </x:c>
      <x:c r="G403" s="134" t="str">
        <x:v>循环C18/C19：投递信封留下纪念票，但投递票不能反复产票。</x:v>
      </x:c>
      <x:c r="H403" s="134" t="str">
        <x:v>邮筒消耗信封时，生成1张纪念票。</x:v>
      </x:c>
      <x:c r="I403" s="134" t="str">
        <x:v>邮筒消耗信封时，生成1张纪念票。</x:v>
      </x:c>
      <x:c r="J403" s="134" t="str">
        <x:v>V5→V6</x:v>
      </x:c>
    </x:row>
    <x:row r="404" ht="30" customHeight="1">
      <x:c r="A404" s="128" t="str">
        <x:v>遗物</x:v>
      </x:c>
      <x:c r="B404" s="128" t="str">
        <x:v>R054</x:v>
      </x:c>
      <x:c r="C404" s="128" t="str">
        <x:v>接力奖章</x:v>
      </x:c>
      <x:c r="D404" s="128" t="str">
        <x:v>保留</x:v>
      </x:c>
      <x:c r="E404" s="128" t="str">
        <x:v>接力奖章</x:v>
      </x:c>
      <x:c r="F404" s="128" t="str">
        <x:v>—</x:v>
      </x:c>
      <x:c r="G404" s="128" t="str">
        <x:v>循环C18/C19：奖励真正完成多次接力的接力棒，区别于星图奖励接收者。</x:v>
      </x:c>
      <x:c r="H404" s="128" t="str">
        <x:v>结算时，本回合成功增值过至少2件物品的接力棒，结算倍率+100%。</x:v>
      </x:c>
      <x:c r="I404" s="128" t="str">
        <x:v>结算时，本回合成功增值过至少2件物品的接力棒，结算倍率+100%。</x:v>
      </x:c>
      <x:c r="J404" s="128" t="str">
        <x:v>V5→V6</x:v>
      </x:c>
    </x:row>
    <x:row r="405" ht="30" customHeight="1">
      <x:c r="A405" s="134" t="str">
        <x:v>遗物</x:v>
      </x:c>
      <x:c r="B405" s="134" t="str">
        <x:v>R056</x:v>
      </x:c>
      <x:c r="C405" s="134" t="str">
        <x:v>旧照片</x:v>
      </x:c>
      <x:c r="D405" s="134" t="str">
        <x:v>保留</x:v>
      </x:c>
      <x:c r="E405" s="134" t="str">
        <x:v>旧照片</x:v>
      </x:c>
      <x:c r="F405" s="134" t="str">
        <x:v>—</x:v>
      </x:c>
      <x:c r="G405" s="134" t="str">
        <x:v>循环C20：对已有永久成长的物品稳定补分，不再产生新成长。</x:v>
      </x:c>
      <x:c r="H405" s="134" t="str">
        <x:v>结算时，永久基础分高于该形态初始基础分的存活物品，各本回合分值+2。</x:v>
      </x:c>
      <x:c r="I405" s="134" t="str">
        <x:v>结算时，永久基础分高于该形态初始基础分的存活物品，各本回合分值+2。</x:v>
      </x:c>
      <x:c r="J405" s="134" t="str">
        <x:v>V5→V6</x:v>
      </x:c>
    </x:row>
    <x:row r="406" ht="38" customHeight="1">
      <x:c r="A406" s="128" t="str">
        <x:v>遗物</x:v>
      </x:c>
      <x:c r="B406" s="128" t="str">
        <x:v>R060</x:v>
      </x:c>
      <x:c r="C406" s="128" t="str">
        <x:v>时代藏品</x:v>
      </x:c>
      <x:c r="D406" s="128" t="str">
        <x:v>保留</x:v>
      </x:c>
      <x:c r="E406" s="128" t="str">
        <x:v>时代藏品</x:v>
      </x:c>
      <x:c r="F406" s="128" t="str">
        <x:v>—</x:v>
      </x:c>
      <x:c r="G406" s="128" t="str">
        <x:v>循环C20：多件长成核心后的倍率终点，与本回合成长计数不同。</x:v>
      </x:c>
      <x:c r="H406" s="128" t="str">
        <x:v>结算时，至少3件存活物品具有永久基础分成长增量时，所有存活成长物品结算倍率+50%。</x:v>
      </x:c>
      <x:c r="I406" s="128" t="str">
        <x:v>结算时，至少3件存活物品具有永久基础分成长增量时，所有存活成长物品结算倍率+50%。</x:v>
      </x:c>
      <x:c r="J406" s="128" t="str">
        <x:v>V5→V6</x:v>
      </x:c>
    </x:row>
    <x:row r="407" ht="30" customHeight="1">
      <x:c r="A407" s="134" t="str">
        <x:v>遗物</x:v>
      </x:c>
      <x:c r="B407" s="134" t="str">
        <x:v>R061</x:v>
      </x:c>
      <x:c r="C407" s="134" t="str">
        <x:v>标准刻度</x:v>
      </x:c>
      <x:c r="D407" s="134" t="str">
        <x:v>保留</x:v>
      </x:c>
      <x:c r="E407" s="134" t="str">
        <x:v>标准刻度</x:v>
      </x:c>
      <x:c r="F407" s="134" t="str">
        <x:v>—</x:v>
      </x:c>
      <x:c r="G407" s="134" t="str">
        <x:v>循环C21：保留一种无复杂前置的通用初始物品奖励。</x:v>
      </x:c>
      <x:c r="H407" s="134" t="str">
        <x:v>结算时，所有初始抽取且存活的物品，各本回合分值+1。</x:v>
      </x:c>
      <x:c r="I407" s="134" t="str">
        <x:v>结算时，所有初始抽取且存活的物品，各本回合分值+1。</x:v>
      </x:c>
      <x:c r="J407" s="134" t="str">
        <x:v>V5→V6</x:v>
      </x:c>
    </x:row>
    <x:row r="408" ht="30" customHeight="1">
      <x:c r="A408" s="128" t="str">
        <x:v>遗物</x:v>
      </x:c>
      <x:c r="B408" s="128" t="str">
        <x:v>R062</x:v>
      </x:c>
      <x:c r="C408" s="128" t="str">
        <x:v>新品收据</x:v>
      </x:c>
      <x:c r="D408" s="128" t="str">
        <x:v>调整</x:v>
      </x:c>
      <x:c r="E408" s="128" t="str">
        <x:v>新品收据</x:v>
      </x:c>
      <x:c r="F408" s="128" t="str">
        <x:v>—</x:v>
      </x:c>
      <x:c r="G408" s="128" t="str">
        <x:v>明确孵化为永久变形，不属于生成奖励。</x:v>
      </x:c>
      <x:c r="H408" s="128" t="str">
        <x:v>每正常生成1件永久物品，直接计分1。</x:v>
      </x:c>
      <x:c r="I408" s="128" t="str">
        <x:v>每正常生成1件永久物品，直接计分1。</x:v>
      </x:c>
      <x:c r="J408" s="128" t="str">
        <x:v>V5→V6</x:v>
      </x:c>
    </x:row>
    <x:row r="409" ht="30" customHeight="1">
      <x:c r="A409" s="134" t="str">
        <x:v>遗物</x:v>
      </x:c>
      <x:c r="B409" s="134" t="str">
        <x:v>R063</x:v>
      </x:c>
      <x:c r="C409" s="134" t="str">
        <x:v>圆形徽章</x:v>
      </x:c>
      <x:c r="D409" s="134" t="str">
        <x:v>保留</x:v>
      </x:c>
      <x:c r="E409" s="134" t="str">
        <x:v>圆形徽章</x:v>
      </x:c>
      <x:c r="F409" s="134" t="str">
        <x:v>—</x:v>
      </x:c>
      <x:c r="G409" s="134" t="str">
        <x:v>循环C21：保留一个单形状构筑方向，移除仅换形状的重复遗物。</x:v>
      </x:c>
      <x:c r="H409" s="134" t="str">
        <x:v>结算时，标准形状为圆形的存活物品，各本回合分值+2。</x:v>
      </x:c>
      <x:c r="I409" s="134" t="str">
        <x:v>结算时，标准形状为圆形的存活物品，各本回合分值+2。</x:v>
      </x:c>
      <x:c r="J409" s="134" t="str">
        <x:v>V5→V6</x:v>
      </x:c>
    </x:row>
    <x:row r="410" ht="30" customHeight="1">
      <x:c r="A410" s="128" t="str">
        <x:v>遗物</x:v>
      </x:c>
      <x:c r="B410" s="128" t="str">
        <x:v>R065</x:v>
      </x:c>
      <x:c r="C410" s="128" t="str">
        <x:v>混搭布袋</x:v>
      </x:c>
      <x:c r="D410" s="128" t="str">
        <x:v>保留</x:v>
      </x:c>
      <x:c r="E410" s="128" t="str">
        <x:v>混搭布袋</x:v>
      </x:c>
      <x:c r="F410" s="128" t="str">
        <x:v>—</x:v>
      </x:c>
      <x:c r="G410" s="128" t="str">
        <x:v>循环C21：奖励多形状组合，与圆形单一方向相对。</x:v>
      </x:c>
      <x:c r="H410" s="128" t="str">
        <x:v>结算时，瓶中至少有4种标准形状时，所有初始抽取且存活的物品，各本回合分值+2。</x:v>
      </x:c>
      <x:c r="I410" s="128" t="str">
        <x:v>结算时，瓶中至少有4种标准形状时，所有初始抽取且存活的物品，各本回合分值+2。</x:v>
      </x:c>
      <x:c r="J410" s="128" t="str">
        <x:v>V5→V6</x:v>
      </x:c>
    </x:row>
    <x:row r="411" ht="30" customHeight="1">
      <x:c r="A411" s="134" t="str">
        <x:v>遗物</x:v>
      </x:c>
      <x:c r="B411" s="134" t="str">
        <x:v>R066</x:v>
      </x:c>
      <x:c r="C411" s="134" t="str">
        <x:v>普通奇迹</x:v>
      </x:c>
      <x:c r="D411" s="134" t="str">
        <x:v>保留</x:v>
      </x:c>
      <x:c r="E411" s="134" t="str">
        <x:v>普通奇迹</x:v>
      </x:c>
      <x:c r="F411" s="134" t="str">
        <x:v>—</x:v>
      </x:c>
      <x:c r="G411" s="134" t="str">
        <x:v>循环C21：鼓励普通品质物品成型，区别于高品质堆叠。</x:v>
      </x:c>
      <x:c r="H411" s="134" t="str">
        <x:v>结算时，普通品质且存活的物品，各本回合分值+3。</x:v>
      </x:c>
      <x:c r="I411" s="134" t="str">
        <x:v>结算时，普通品质且存活的物品，各本回合分值+3。</x:v>
      </x:c>
      <x:c r="J411" s="134" t="str">
        <x:v>V5→V6</x:v>
      </x:c>
    </x:row>
    <x:row r="412" ht="30" customHeight="1">
      <x:c r="A412" s="128" t="str">
        <x:v>遗物</x:v>
      </x:c>
      <x:c r="B412" s="128" t="str">
        <x:v>R067</x:v>
      </x:c>
      <x:c r="C412" s="128" t="str">
        <x:v>孤品展柜</x:v>
      </x:c>
      <x:c r="D412" s="128" t="str">
        <x:v>保留</x:v>
      </x:c>
      <x:c r="E412" s="128" t="str">
        <x:v>孤品展柜</x:v>
      </x:c>
      <x:c r="F412" s="128" t="str">
        <x:v>—</x:v>
      </x:c>
      <x:c r="G412" s="128" t="str">
        <x:v>循环C21：按瓶中同名数量支持单件构筑，非按物品总量计数。</x:v>
      </x:c>
      <x:c r="H412" s="128" t="str">
        <x:v>结算时，名称在瓶中仅出现1次的物品，结算倍率+25%。</x:v>
      </x:c>
      <x:c r="I412" s="128" t="str">
        <x:v>结算时，名称在瓶中仅出现1次的物品，结算倍率+25%。</x:v>
      </x:c>
      <x:c r="J412" s="128" t="str">
        <x:v>V5→V6</x:v>
      </x:c>
    </x:row>
    <x:row r="413" ht="30" customHeight="1">
      <x:c r="A413" s="134" t="str">
        <x:v>遗物</x:v>
      </x:c>
      <x:c r="B413" s="134" t="str">
        <x:v>R068</x:v>
      </x:c>
      <x:c r="C413" s="134" t="str">
        <x:v>结伴绳结</x:v>
      </x:c>
      <x:c r="D413" s="134" t="str">
        <x:v>保留</x:v>
      </x:c>
      <x:c r="E413" s="134" t="str">
        <x:v>结伴绳结</x:v>
      </x:c>
      <x:c r="F413" s="134" t="str">
        <x:v>—</x:v>
      </x:c>
      <x:c r="G413" s="134" t="str">
        <x:v>循环C21：只需一对接触即可理解，要求冻结时保住成对布局。</x:v>
      </x:c>
      <x:c r="H413" s="134" t="str">
        <x:v>结算时，恰好接触1件其他物品的物品，各本回合分值+4。</x:v>
      </x:c>
      <x:c r="I413" s="134" t="str">
        <x:v>结算时，恰好接触1件其他物品的物品，各本回合分值+4。</x:v>
      </x:c>
      <x:c r="J413" s="134" t="str">
        <x:v>V5→V6</x:v>
      </x:c>
    </x:row>
    <x:row r="414" ht="30" customHeight="1">
      <x:c r="A414" s="128" t="str">
        <x:v>遗物</x:v>
      </x:c>
      <x:c r="B414" s="128" t="str">
        <x:v>R069</x:v>
      </x:c>
      <x:c r="C414" s="128" t="str">
        <x:v>拥挤奖券</x:v>
      </x:c>
      <x:c r="D414" s="128" t="str">
        <x:v>保留</x:v>
      </x:c>
      <x:c r="E414" s="128" t="str">
        <x:v>拥挤奖券</x:v>
      </x:c>
      <x:c r="F414" s="128" t="str">
        <x:v>—</x:v>
      </x:c>
      <x:c r="G414" s="128" t="str">
        <x:v>循环C21：鼓励生成后保留大量实体，存在挤占空间的实际取舍。</x:v>
      </x:c>
      <x:c r="H414" s="128" t="str">
        <x:v>结算时，瓶中至少有24件物品时，本回合生成且存活的物品，各本回合分值+2。</x:v>
      </x:c>
      <x:c r="I414" s="128" t="str">
        <x:v>结算时，瓶中至少有24件物品时，本回合生成且存活的物品，各本回合分值+2。</x:v>
      </x:c>
      <x:c r="J414" s="128" t="str">
        <x:v>V5→V6</x:v>
      </x:c>
    </x:row>
    <x:row r="415" ht="30" customHeight="1">
      <x:c r="A415" s="134" t="str">
        <x:v>遗物</x:v>
      </x:c>
      <x:c r="B415" s="134" t="str">
        <x:v>R070</x:v>
      </x:c>
      <x:c r="C415" s="134" t="str">
        <x:v>精选名册</x:v>
      </x:c>
      <x:c r="D415" s="134" t="str">
        <x:v>保留</x:v>
      </x:c>
      <x:c r="E415" s="134" t="str">
        <x:v>精选名册</x:v>
      </x:c>
      <x:c r="F415" s="134" t="str">
        <x:v>—</x:v>
      </x:c>
      <x:c r="G415" s="134" t="str">
        <x:v>循环C21：鼓励回合内消耗精简瓶中实体，不改变16件初始抽取。</x:v>
      </x:c>
      <x:c r="H415" s="134" t="str">
        <x:v>结算时，瓶中不超过12件物品时，所有存活物品结算倍率+25%。</x:v>
      </x:c>
      <x:c r="I415" s="134" t="str">
        <x:v>结算时，瓶中不超过12件物品时，所有存活物品结算倍率+25%。</x:v>
      </x:c>
      <x:c r="J415" s="134" t="str">
        <x:v>V5→V6</x:v>
      </x:c>
    </x:row>
    <x:row r="416" ht="30" customHeight="1">
      <x:c r="A416" s="128" t="str">
        <x:v>遗物</x:v>
      </x:c>
      <x:c r="B416" s="128" t="str">
        <x:v>R072</x:v>
      </x:c>
      <x:c r="C416" s="128" t="str">
        <x:v>最后一页</x:v>
      </x:c>
      <x:c r="D416" s="128" t="str">
        <x:v>保留</x:v>
      </x:c>
      <x:c r="E416" s="128" t="str">
        <x:v>最后一页</x:v>
      </x:c>
      <x:c r="F416" s="128" t="str">
        <x:v>—</x:v>
      </x:c>
      <x:c r="G416" s="128" t="str">
        <x:v>循环C21：保留临近五回合检查点的单一轮次奖励。</x:v>
      </x:c>
      <x:c r="H416" s="128" t="str">
        <x:v>结算时，每5回合中的第5回合，所有初始抽取且存活的物品，各本回合分值+3。</x:v>
      </x:c>
      <x:c r="I416" s="128" t="str">
        <x:v>结算时，每5回合中的第5回合，所有初始抽取且存活的物品，各本回合分值+3。</x:v>
      </x:c>
      <x:c r="J416" s="128" t="str">
        <x:v>V5→V6</x:v>
      </x:c>
    </x:row>
    <x:row r="417" ht="30" customHeight="1">
      <x:c r="A417" s="134" t="str">
        <x:v>遗物</x:v>
      </x:c>
      <x:c r="B417" s="134" t="str">
        <x:v>R074</x:v>
      </x:c>
      <x:c r="C417" s="134" t="str">
        <x:v>广交朋友</x:v>
      </x:c>
      <x:c r="D417" s="134" t="str">
        <x:v>保留</x:v>
      </x:c>
      <x:c r="E417" s="134" t="str">
        <x:v>广交朋友</x:v>
      </x:c>
      <x:c r="F417" s="134" t="str">
        <x:v>—</x:v>
      </x:c>
      <x:c r="G417" s="134" t="str">
        <x:v>循环C21：鼓励接触更多不同对象，不检测摇晃强度。</x:v>
      </x:c>
      <x:c r="H417" s="134" t="str">
        <x:v>结算时，本回合接触过至少5个不同实例的存活物品，各本回合分值+3。</x:v>
      </x:c>
      <x:c r="I417" s="134" t="str">
        <x:v>结算时，本回合接触过至少5个不同实例的存活物品，各本回合分值+3。</x:v>
      </x:c>
      <x:c r="J417" s="134" t="str">
        <x:v>V5→V6</x:v>
      </x:c>
    </x:row>
    <x:row r="418" ht="30" customHeight="1">
      <x:c r="A418" s="128" t="str">
        <x:v>遗物</x:v>
      </x:c>
      <x:c r="B418" s="128" t="str">
        <x:v>R075</x:v>
      </x:c>
      <x:c r="C418" s="128" t="str">
        <x:v>熟面孔</x:v>
      </x:c>
      <x:c r="D418" s="128" t="str">
        <x:v>保留</x:v>
      </x:c>
      <x:c r="E418" s="128" t="str">
        <x:v>熟面孔</x:v>
      </x:c>
      <x:c r="F418" s="128" t="str">
        <x:v>—</x:v>
      </x:c>
      <x:c r="G418" s="128" t="str">
        <x:v>循环C21：鼓励同名物品相遇，与多名称接触路线不同。</x:v>
      </x:c>
      <x:c r="H418" s="128" t="str">
        <x:v>结算时，本回合接触过至少2件与自身同名物品的存活物品，各本回合分值+4。</x:v>
      </x:c>
      <x:c r="I418" s="128" t="str">
        <x:v>结算时，本回合接触过至少2件与自身同名物品的存活物品，各本回合分值+4。</x:v>
      </x:c>
      <x:c r="J418" s="128" t="str">
        <x:v>V5→V6</x:v>
      </x:c>
    </x:row>
    <x:row r="419" ht="30" customHeight="1">
      <x:c r="A419" s="134" t="str">
        <x:v>遗物</x:v>
      </x:c>
      <x:c r="B419" s="134" t="str">
        <x:v>R076</x:v>
      </x:c>
      <x:c r="C419" s="134" t="str">
        <x:v>收官红利</x:v>
      </x:c>
      <x:c r="D419" s="134" t="str">
        <x:v>保留</x:v>
      </x:c>
      <x:c r="E419" s="134" t="str">
        <x:v>收官红利</x:v>
      </x:c>
      <x:c r="F419" s="134" t="str">
        <x:v>—</x:v>
      </x:c>
      <x:c r="G419" s="134" t="str">
        <x:v>循环C21：奖励摇晃阶段已经获得的直接分，不自我递归计分。</x:v>
      </x:c>
      <x:c r="H419" s="134" t="str">
        <x:v>结算结束时，若冻结时锁定的直接计分池E至少为30，直接计分15。</x:v>
      </x:c>
      <x:c r="I419" s="134" t="str">
        <x:v>结算结束时，若冻结时锁定的直接计分池E至少为30，直接计分15。</x:v>
      </x:c>
      <x:c r="J419" s="134" t="str">
        <x:v>V5→V6</x:v>
      </x:c>
    </x:row>
    <x:row r="420" ht="30" customHeight="1">
      <x:c r="A420" s="128" t="str">
        <x:v>遗物</x:v>
      </x:c>
      <x:c r="B420" s="128" t="str">
        <x:v>R077</x:v>
      </x:c>
      <x:c r="C420" s="128" t="str">
        <x:v>成长档案</x:v>
      </x:c>
      <x:c r="D420" s="128" t="str">
        <x:v>调整</x:v>
      </x:c>
      <x:c r="E420" s="128" t="str">
        <x:v>成长档案</x:v>
      </x:c>
      <x:c r="F420" s="128" t="str">
        <x:v>—</x:v>
      </x:c>
      <x:c r="G420" s="128" t="str">
        <x:v>孵化进度与变形不是基础分成长，不触发成长档案。</x:v>
      </x:c>
      <x:c r="H420" s="128" t="str">
        <x:v>结算结束时，本回合至少3个不同实例成功获得永久基础分成长时，直接计分12。</x:v>
      </x:c>
      <x:c r="I420" s="128" t="str">
        <x:v>结算结束时，本回合至少3个不同实例成功获得永久基础分成长时，直接计分12。</x:v>
      </x:c>
      <x:c r="J420" s="128" t="str">
        <x:v>V5→V6</x:v>
      </x:c>
    </x:row>
    <x:row r="421" ht="30" customHeight="1">
      <x:c r="A421" s="134" t="str">
        <x:v>遗物</x:v>
      </x:c>
      <x:c r="B421" s="134" t="str">
        <x:v>R078</x:v>
      </x:c>
      <x:c r="C421" s="134" t="str">
        <x:v>均衡阵容</x:v>
      </x:c>
      <x:c r="D421" s="134" t="str">
        <x:v>保留</x:v>
      </x:c>
      <x:c r="E421" s="134" t="str">
        <x:v>均衡阵容</x:v>
      </x:c>
      <x:c r="F421" s="134" t="str">
        <x:v>—</x:v>
      </x:c>
      <x:c r="G421" s="134" t="str">
        <x:v>循环C21：保留多流派构筑目标，删除同时约束每类数量的额外心算。</x:v>
      </x:c>
      <x:c r="H421" s="134" t="str">
        <x:v>结算时，初始抽取且存活的物品覆盖至少6个主流派时，这些物品各本回合分值+3。</x:v>
      </x:c>
      <x:c r="I421" s="134" t="str">
        <x:v>结算时，初始抽取且存活的物品覆盖至少6个主流派时，这些物品各本回合分值+3。</x:v>
      </x:c>
      <x:c r="J421" s="134" t="str">
        <x:v>V5→V6</x:v>
      </x:c>
    </x:row>
    <x:row r="422" ht="38" customHeight="1">
      <x:c r="A422" s="128" t="str">
        <x:v>遗物</x:v>
      </x:c>
      <x:c r="B422" s="128" t="str">
        <x:v>R080</x:v>
      </x:c>
      <x:c r="C422" s="128" t="str">
        <x:v>接触见证</x:v>
      </x:c>
      <x:c r="D422" s="128" t="str">
        <x:v>保留</x:v>
      </x:c>
      <x:c r="E422" s="128" t="str">
        <x:v>接触见证</x:v>
      </x:c>
      <x:c r="F422" s="128" t="str">
        <x:v>—</x:v>
      </x:c>
      <x:c r="G422" s="128" t="str">
        <x:v>循环C21：鼓励消耗、生成和增值组合，三类成功事件对应可见反馈。</x:v>
      </x:c>
      <x:c r="H422" s="128" t="str">
        <x:v>结算时，本回合发生过消耗、生成、增值三类成功事件时，所有初始抽取且存活的物品，各本回合分值+4。</x:v>
      </x:c>
      <x:c r="I422" s="128" t="str">
        <x:v>结算时，本回合发生过消耗、生成、增值三类成功事件时，所有初始抽取且存活的物品，各本回合分值+4。</x:v>
      </x:c>
      <x:c r="J422" s="128" t="str">
        <x:v>V5→V6</x:v>
      </x:c>
    </x:row>
    <x:row r="423" ht="38" customHeight="1">
      <x:c r="A423" s="134" t="str">
        <x:v>物品</x:v>
      </x:c>
      <x:c r="B423" s="134" t="str">
        <x:v>I122</x:v>
      </x:c>
      <x:c r="C423" s="134" t="str">
        <x:v>—</x:v>
      </x:c>
      <x:c r="D423" s="134" t="str">
        <x:v>新增</x:v>
      </x:c>
      <x:c r="E423" s="134" t="str">
        <x:v>水井</x:v>
      </x:c>
      <x:c r="F423" s="134" t="str">
        <x:v>—</x:v>
      </x:c>
      <x:c r="G423" s="134" t="str">
        <x:v>新增与雨云不同的供水方式：基础1颗，补能后最多2颗；电池、雷晶石与节能齿轮可支持第二次抽水。</x:v>
      </x:c>
      <x:c r="H423" s="134" t="str">
        <x:v>—</x:v>
      </x:c>
      <x:c r="I423" s="134" t="str">
        <x:v>初始充能为1。入瓶或获得充能后，若有充能且未达到本回合产量上限，花费1充能，生成1颗水珠；有剩余充能时继续抽水，直到达到上限或充能耗尽。</x:v>
      </x:c>
      <x:c r="J423" s="134" t="str">
        <x:v>V5→V6</x:v>
      </x:c>
    </x:row>
    <x:row r="424" ht="38" customHeight="1">
      <x:c r="A424" s="128" t="str">
        <x:v>物品</x:v>
      </x:c>
      <x:c r="B424" s="128" t="str">
        <x:v>I123</x:v>
      </x:c>
      <x:c r="C424" s="128" t="str">
        <x:v>—</x:v>
      </x:c>
      <x:c r="D424" s="128" t="str">
        <x:v>新增</x:v>
      </x:c>
      <x:c r="E424" s="128" t="str">
        <x:v>麦田</x:v>
      </x:c>
      <x:c r="F424" s="128" t="str">
        <x:v>—</x:v>
      </x:c>
      <x:c r="G424" s="128" t="str">
        <x:v>新增持续饲料来源；1水换2谷物，可供1只母鸡和1头奶牛分别进食，原料全部在瓶中可见。</x:v>
      </x:c>
      <x:c r="H424" s="128" t="str">
        <x:v>—</x:v>
      </x:c>
      <x:c r="I424" s="128" t="str">
        <x:v>接触水珠时，消耗该水珠，生成2束谷穗。</x:v>
      </x:c>
      <x:c r="J424" s="128" t="str">
        <x:v>V5→V6</x:v>
      </x:c>
    </x:row>
    <x:row r="425" ht="30" customHeight="1">
      <x:c r="A425" s="134" t="str">
        <x:v>物品</x:v>
      </x:c>
      <x:c r="B425" s="134" t="str">
        <x:v>I068</x:v>
      </x:c>
      <x:c r="C425" s="134" t="str">
        <x:v>弹簧台</x:v>
      </x:c>
      <x:c r="D425" s="134" t="str">
        <x:v>调整</x:v>
      </x:c>
      <x:c r="E425" s="134" t="str">
        <x:v>弹簧台</x:v>
      </x:c>
      <x:c r="F425" s="134" t="str">
        <x:v>—</x:v>
      </x:c>
      <x:c r="G425" s="134" t="str">
        <x:v>无需专用原料或流派标签，归为中立辅助；保留接触增值与轻推作用。</x:v>
      </x:c>
      <x:c r="H425" s="134" t="str">
        <x:v>接触其他物品时，使该物品本回合分值+1，并将其轻推离自身。</x:v>
      </x:c>
      <x:c r="I425" s="134" t="str">
        <x:v>接触其他物品时，使该物品本回合分值+1，并将其轻推离自身。</x:v>
      </x:c>
      <x:c r="J425" s="134" t="str">
        <x:v>V6→V7</x:v>
      </x:c>
    </x:row>
    <x:row r="426" ht="38" customHeight="1">
      <x:c r="A426" s="128" t="str">
        <x:v>物品</x:v>
      </x:c>
      <x:c r="B426" s="128" t="str">
        <x:v>I070</x:v>
      </x:c>
      <x:c r="C426" s="128" t="str">
        <x:v>计数盘</x:v>
      </x:c>
      <x:c r="D426" s="128" t="str">
        <x:v>调整</x:v>
      </x:c>
      <x:c r="E426" s="128" t="str">
        <x:v>计数盘</x:v>
      </x:c>
      <x:c r="F426" s="128" t="str">
        <x:v>—</x:v>
      </x:c>
      <x:c r="G426" s="128" t="str">
        <x:v>从稀有核心改为普通中立过渡：移除不同名称奖励，16件时得4分，24件及以上封顶6分。</x:v>
      </x:c>
      <x:c r="H426" s="128" t="str">
        <x:v>结算时，瓶中每有1件其他物品，自身本回合分值+1；这些物品至少有8种不同名称时，自身本回合分值再+8。</x:v>
      </x:c>
      <x:c r="I426" s="128" t="str">
        <x:v>结算时，瓶中每有4件物品，自身本回合分值+1。</x:v>
      </x:c>
      <x:c r="J426" s="128" t="str">
        <x:v>V6→V7</x:v>
      </x:c>
    </x:row>
    <x:row r="427" ht="30" customHeight="1">
      <x:c r="A427" s="134" t="str">
        <x:v>物品</x:v>
      </x:c>
      <x:c r="B427" s="134" t="str">
        <x:v>I111</x:v>
      </x:c>
      <x:c r="C427" s="134" t="str">
        <x:v>秒表</x:v>
      </x:c>
      <x:c r="D427" s="134" t="str">
        <x:v>调整</x:v>
      </x:c>
      <x:c r="E427" s="134" t="str">
        <x:v>秒表</x:v>
      </x:c>
      <x:c r="F427" s="134" t="str">
        <x:v>—</x:v>
      </x:c>
      <x:c r="G427" s="134" t="str">
        <x:v>归为中立操作物品；保留延迟首次接触的收益，不按摇晃强度计分。</x:v>
      </x:c>
      <x:c r="H427" s="134" t="str">
        <x:v>首次接触其他物品时，自身本回合分值增加本回合已经过去的整秒数。</x:v>
      </x:c>
      <x:c r="I427" s="134" t="str">
        <x:v>首次接触其他物品时，自身本回合分值增加本回合已经过去的整秒数。</x:v>
      </x:c>
      <x:c r="J427" s="134" t="str">
        <x:v>V6→V7</x:v>
      </x:c>
    </x:row>
    <x:row r="428" ht="30" customHeight="1">
      <x:c r="A428" s="128" t="str">
        <x:v>物品</x:v>
      </x:c>
      <x:c r="B428" s="128" t="str">
        <x:v>I117</x:v>
      </x:c>
      <x:c r="C428" s="128" t="str">
        <x:v>指挥旗</x:v>
      </x:c>
      <x:c r="D428" s="128" t="str">
        <x:v>调整</x:v>
      </x:c>
      <x:c r="E428" s="128" t="str">
        <x:v>指挥旗</x:v>
      </x:c>
      <x:c r="F428" s="128" t="str">
        <x:v>—</x:v>
      </x:c>
      <x:c r="G428" s="128" t="str">
        <x:v>归为中立辅助；帮助任何构筑中的低分物品，保留冻结分值选目标。</x:v>
      </x:c>
      <x:c r="H428" s="128" t="str">
        <x:v>结算时，与自身接触的物品中，冻结分值最低的2件各本回合分值+4。</x:v>
      </x:c>
      <x:c r="I428" s="128" t="str">
        <x:v>结算时，与自身接触的物品中，冻结分值最低的2件各本回合分值+4。</x:v>
      </x:c>
      <x:c r="J428" s="128" t="str">
        <x:v>V6→V7</x:v>
      </x:c>
    </x:row>
    <x:row r="429" ht="30" customHeight="1">
      <x:c r="A429" s="134" t="str">
        <x:v>物品</x:v>
      </x:c>
      <x:c r="B429" s="134" t="str">
        <x:v>I124</x:v>
      </x:c>
      <x:c r="C429" s="134" t="str">
        <x:v>骰子</x:v>
      </x:c>
      <x:c r="D429" s="134" t="str">
        <x:v>新增</x:v>
      </x:c>
      <x:c r="E429" s="134" t="str">
        <x:v>骰子</x:v>
      </x:c>
      <x:c r="F429" s="134" t="str">
        <x:v>—</x:v>
      </x:c>
      <x:c r="G429" s="134" t="str">
        <x:v>平均增加3.5分的普通过渡物品；点数作为本回合加分保留，其他增值正常叠加。</x:v>
      </x:c>
      <x:c r="H429" s="134" t="str">
        <x:v>—</x:v>
      </x:c>
      <x:c r="I429" s="134" t="str">
        <x:v>入瓶时，随机掷出1～6点，自身本回合分值增加对应点数。</x:v>
      </x:c>
      <x:c r="J429" s="134" t="str">
        <x:v>V6→V7</x:v>
      </x:c>
    </x:row>
    <x:row r="430" ht="30" customHeight="1">
      <x:c r="A430" s="128" t="str">
        <x:v>物品</x:v>
      </x:c>
      <x:c r="B430" s="128" t="str">
        <x:v>I125</x:v>
      </x:c>
      <x:c r="C430" s="128" t="str">
        <x:v>玻璃珠</x:v>
      </x:c>
      <x:c r="D430" s="128" t="str">
        <x:v>新增</x:v>
      </x:c>
      <x:c r="E430" s="128" t="str">
        <x:v>玻璃珠</x:v>
      </x:c>
      <x:c r="F430" s="128" t="str">
        <x:v>—</x:v>
      </x:c>
      <x:c r="G430" s="128" t="str">
        <x:v>稳定3分的普通过渡物品，用来比较骰子的波动和计数盘对数量的依赖。</x:v>
      </x:c>
      <x:c r="H430" s="128" t="str">
        <x:v>—</x:v>
      </x:c>
      <x:c r="I430" s="128" t="str">
        <x:v>无主动效果。</x:v>
      </x:c>
      <x:c r="J430" s="128" t="str">
        <x:v>V6→V7</x:v>
      </x:c>
    </x:row>
    <x:row r="431" ht="38" customHeight="1">
      <x:c r="A431" s="134" t="str">
        <x:v>遗物</x:v>
      </x:c>
      <x:c r="B431" s="134" t="str">
        <x:v>R078</x:v>
      </x:c>
      <x:c r="C431" s="134" t="str">
        <x:v>均衡阵容</x:v>
      </x:c>
      <x:c r="D431" s="134" t="str">
        <x:v>调整</x:v>
      </x:c>
      <x:c r="E431" s="134" t="str">
        <x:v>均衡阵容</x:v>
      </x:c>
      <x:c r="F431" s="134" t="str">
        <x:v>—</x:v>
      </x:c>
      <x:c r="G431" s="134" t="str">
        <x:v>中立是通用选牌类别，不是第13种主题流派；均衡阵容仍要求6个实际主题流派。</x:v>
      </x:c>
      <x:c r="H431" s="134" t="str">
        <x:v>结算时，初始抽取且存活的物品覆盖至少6个主流派时，这些物品各本回合分值+3。</x:v>
      </x:c>
      <x:c r="I431" s="134" t="str">
        <x:v>结算时，初始抽取且存活的物品覆盖至少6个非中立主流派时，所有初始抽取且存活的物品各本回合分值+3。</x:v>
      </x:c>
      <x:c r="J431" s="134" t="str">
        <x:v>V6→V7</x:v>
      </x:c>
    </x:row>
  </x:sheetData>
  <x:mergeCells>
    <x:mergeCell ref="A2:J2"/>
    <x:mergeCell ref="A3:J3"/>
  </x:mergeCells>
  <x:conditionalFormatting sqref="D6:D431">
    <x:cfRule type="containsText" dxfId="20" priority="1" operator="containsText" text="调整"/>
    <x:cfRule type="containsText" dxfId="21" priority="2" operator="containsText" text="合并"/>
    <x:cfRule type="containsText" dxfId="22" priority="3" operator="containsText" text="移除"/>
    <x:cfRule type="containsText" dxfId="23" priority="4" operator="containsText" text="新增"/>
  </x:conditionalFormatting>
  <x:pageMargins left="0.7" right="0.7" top="0.75" bottom="0.75" header="0.3" footer="0.3"/>
  <x:tableParts count="1">
    <x:tablePart xmlns:r="http://schemas.openxmlformats.org/officeDocument/2006/relationships" r:id="R910d911f0bde4171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6" hidden="0" customWidth="1"/>
    <x:col min="2" max="2" width="37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4" hidden="0" customWidth="1"/>
    <x:col min="10" max="10" width="14" hidden="0" customWidth="1"/>
    <x:col min="11" max="11" width="14" hidden="0" customWidth="1"/>
    <x:col min="12" max="12" width="66" hidden="0" customWidth="1"/>
  </x:cols>
  <x:sheetData>
    <x:row r="2" ht="28" customHeight="1">
      <x:c r="A2" s="61" t="str">
        <x:v>资源循环与抽样检查 · V6</x:v>
      </x:c>
      <x:c r="B2" s="61"/>
      <x:c r="C2" s="61"/>
      <x:c r="D2" s="61"/>
      <x:c r="E2" s="61"/>
      <x:c r="F2" s="61"/>
      <x:c r="G2" s="61"/>
      <x:c r="H2" s="61"/>
      <x:c r="I2" s="61"/>
      <x:c r="J2" s="61"/>
      <x:c r="K2" s="61"/>
      <x:c r="L2" s="61"/>
    </x:row>
    <x:row r="3" ht="34" customHeight="1">
      <x:c r="A3" s="65" t="str">
        <x:v>先检查单次资源收支，再看抽样等待与21条链路。以下是假定组件同场、接触成功、空间足够的条件推演，不是物理实测。</x:v>
      </x:c>
      <x:c r="B3" s="65"/>
      <x:c r="C3" s="65"/>
      <x:c r="D3" s="65"/>
      <x:c r="E3" s="65"/>
      <x:c r="F3" s="65"/>
      <x:c r="G3" s="65"/>
      <x:c r="H3" s="65"/>
      <x:c r="I3" s="65"/>
      <x:c r="J3" s="65"/>
      <x:c r="K3" s="65"/>
      <x:c r="L3" s="65"/>
    </x:row>
    <x:row r="5" ht="40" customHeight="1">
      <x:c r="A5" s="88" t="str">
        <x:v>条件算例</x:v>
      </x:c>
      <x:c r="B5" s="88" t="str">
        <x:v>运行前提</x:v>
      </x:c>
      <x:c r="C5" s="88" t="str">
        <x:v>永久新增</x:v>
      </x:c>
      <x:c r="D5" s="88" t="str">
        <x:v>永久消耗</x:v>
      </x:c>
      <x:c r="E5" s="88" t="str">
        <x:v>临时生成</x:v>
      </x:c>
      <x:c r="F5" s="88" t="str">
        <x:v>临时消耗</x:v>
      </x:c>
      <x:c r="G5" s="88" t="str">
        <x:v>水珠生成</x:v>
      </x:c>
      <x:c r="H5" s="88" t="str">
        <x:v>水珠消耗</x:v>
      </x:c>
      <x:c r="I5" s="88" t="str">
        <x:v>永久净变化</x:v>
      </x:c>
      <x:c r="J5" s="88" t="str">
        <x:v>临时净新增</x:v>
      </x:c>
      <x:c r="K5" s="88" t="str">
        <x:v>水珠净变化</x:v>
      </x:c>
      <x:c r="L5" s="88" t="str">
        <x:v>解释与取舍</x:v>
      </x:c>
    </x:row>
    <x:row r="6" ht="30" customHeight="1">
      <x:c r="A6" s="89" t="str">
        <x:v>雨云→葡萄藤→饕餮嘴，另1水留牌</x:v>
      </x:c>
      <x:c r="B6" s="89" t="str">
        <x:v>1云2水，藤耗1水产2葡萄，嘴吃2葡萄；无遗物</x:v>
      </x:c>
      <x:c r="C6" s="90" t="n">
        <x:v>4</x:v>
      </x:c>
      <x:c r="D6" s="90" t="n">
        <x:v>3</x:v>
      </x:c>
      <x:c r="E6" s="90" t="n">
        <x:v>0</x:v>
      </x:c>
      <x:c r="F6" s="90" t="n">
        <x:v>0</x:v>
      </x:c>
      <x:c r="G6" s="90" t="n">
        <x:v>2</x:v>
      </x:c>
      <x:c r="H6" s="90" t="n">
        <x:v>1</x:v>
      </x:c>
      <x:c r="I6" s="90" t="n">
        <x:f>C6-D6</x:f>
        <x:v>1</x:v>
      </x:c>
      <x:c r="J6" s="90" t="n">
        <x:f>E6-F6</x:f>
        <x:v>0</x:v>
      </x:c>
      <x:c r="K6" s="90" t="n">
        <x:f>G6-H6</x:f>
        <x:v>1</x:v>
      </x:c>
      <x:c r="L6" s="89" t="str">
        <x:v>永久净+1为剩余水珠；食品没有积压，水仍会积压。</x:v>
      </x:c>
    </x:row>
    <x:row r="7" ht="30" customHeight="1">
      <x:c r="A7" s="92" t="str">
        <x:v>雨云→葡萄藤→饕餮嘴，海绵吸剩余水</x:v>
      </x:c>
      <x:c r="B7" s="92" t="str">
        <x:v>上述组合，再由海绵吸1水；无遗物</x:v>
      </x:c>
      <x:c r="C7" s="93" t="n">
        <x:v>4</x:v>
      </x:c>
      <x:c r="D7" s="93" t="n">
        <x:v>4</x:v>
      </x:c>
      <x:c r="E7" s="93" t="n">
        <x:v>0</x:v>
      </x:c>
      <x:c r="F7" s="93" t="n">
        <x:v>0</x:v>
      </x:c>
      <x:c r="G7" s="93" t="n">
        <x:v>2</x:v>
      </x:c>
      <x:c r="H7" s="93" t="n">
        <x:v>2</x:v>
      </x:c>
      <x:c r="I7" s="93" t="n">
        <x:f>C7-D7</x:f>
        <x:v>0</x:v>
      </x:c>
      <x:c r="J7" s="93" t="n">
        <x:f>E7-F7</x:f>
        <x:v>0</x:v>
      </x:c>
      <x:c r="K7" s="93" t="n">
        <x:f>G7-H7</x:f>
        <x:v>0</x:v>
      </x:c>
      <x:c r="L7" s="92" t="str">
        <x:v>原料闭合，永久净0；嘴直接计分20，海绵+5。每回合奖励新增物品仍另计。</x:v>
      </x:c>
    </x:row>
    <x:row r="8" ht="30" customHeight="1">
      <x:c r="A8" s="89" t="str">
        <x:v>雨云→麦田→母鸡+奶牛</x:v>
      </x:c>
      <x:c r="B8" s="89" t="str">
        <x:v>云2水，田耗1水产2谷穗；鸡牛各吃1谷穗</x:v>
      </x:c>
      <x:c r="C8" s="90" t="n">
        <x:v>7</x:v>
      </x:c>
      <x:c r="D8" s="90" t="n">
        <x:v>3</x:v>
      </x:c>
      <x:c r="E8" s="90" t="n">
        <x:v>0</x:v>
      </x:c>
      <x:c r="F8" s="90" t="n">
        <x:v>0</x:v>
      </x:c>
      <x:c r="G8" s="90" t="n">
        <x:v>2</x:v>
      </x:c>
      <x:c r="H8" s="90" t="n">
        <x:v>1</x:v>
      </x:c>
      <x:c r="I8" s="90" t="n">
        <x:f>C8-D8</x:f>
        <x:v>4</x:v>
      </x:c>
      <x:c r="J8" s="90" t="n">
        <x:f>E8-F8</x:f>
        <x:v>0</x:v>
      </x:c>
      <x:c r="K8" s="90" t="n">
        <x:f>G8-H8</x:f>
        <x:v>1</x:v>
      </x:c>
      <x:c r="L8" s="89" t="str">
        <x:v>净+4：剩1水、2蛋、1奶；这是一条扩张链，不能当精简牌库循环。</x:v>
      </x:c>
    </x:row>
    <x:row r="9" ht="30" customHeight="1">
      <x:c r="A9" s="92" t="str">
        <x:v>供水分别喂葡萄藤与麦田</x:v>
      </x:c>
      <x:c r="B9" s="92" t="str">
        <x:v>1云2水，两种植物各消耗1水</x:v>
      </x:c>
      <x:c r="C9" s="93" t="n">
        <x:v>6</x:v>
      </x:c>
      <x:c r="D9" s="93" t="n">
        <x:v>2</x:v>
      </x:c>
      <x:c r="E9" s="93" t="n">
        <x:v>0</x:v>
      </x:c>
      <x:c r="F9" s="93" t="n">
        <x:v>0</x:v>
      </x:c>
      <x:c r="G9" s="93" t="n">
        <x:v>2</x:v>
      </x:c>
      <x:c r="H9" s="93" t="n">
        <x:v>2</x:v>
      </x:c>
      <x:c r="I9" s="93" t="n">
        <x:f>C9-D9</x:f>
        <x:v>4</x:v>
      </x:c>
      <x:c r="J9" s="93" t="n">
        <x:f>E9-F9</x:f>
        <x:v>0</x:v>
      </x:c>
      <x:c r="K9" s="93" t="n">
        <x:f>G9-H9</x:f>
        <x:v>0</x:v>
      </x:c>
      <x:c r="L9" s="92" t="str">
        <x:v>净+4：2葡萄+2谷穗；供水配平，产物尚需出口。</x:v>
      </x:c>
    </x:row>
    <x:row r="10" ht="30" customHeight="1">
      <x:c r="A10" s="89" t="str">
        <x:v>单锅炉+冷凝管，完成2次加工</x:v>
      </x:c>
      <x:c r="B10" s="89" t="str">
        <x:v>已有火源与1颗启动水；同回合两次加工</x:v>
      </x:c>
      <x:c r="C10" s="90" t="n">
        <x:v>2</x:v>
      </x:c>
      <x:c r="D10" s="90" t="n">
        <x:v>2</x:v>
      </x:c>
      <x:c r="E10" s="90" t="n">
        <x:v>2</x:v>
      </x:c>
      <x:c r="F10" s="90" t="n">
        <x:v>0</x:v>
      </x:c>
      <x:c r="G10" s="90" t="n">
        <x:v>2</x:v>
      </x:c>
      <x:c r="H10" s="90" t="n">
        <x:v>2</x:v>
      </x:c>
      <x:c r="I10" s="90" t="n">
        <x:f>C10-D10</x:f>
        <x:v>0</x:v>
      </x:c>
      <x:c r="J10" s="90" t="n">
        <x:f>E10-F10</x:f>
        <x:v>2</x:v>
      </x:c>
      <x:c r="K10" s="90" t="n">
        <x:f>G10-H10</x:f>
        <x:v>0</x:v>
      </x:c>
      <x:c r="L10" s="89" t="str">
        <x:v>永久净0，临时蒸汽2；启动水留存1颗。回收水需要再次真实接触才能用于第二次。</x:v>
      </x:c>
    </x:row>
    <x:row r="11" ht="30" customHeight="1">
      <x:c r="A11" s="92" t="str">
        <x:v>单锅炉无冷凝管，完成2次加工</x:v>
      </x:c>
      <x:c r="B11" s="92" t="str">
        <x:v>已有火源与2颗水；无新供水</x:v>
      </x:c>
      <x:c r="C11" s="93" t="n">
        <x:v>0</x:v>
      </x:c>
      <x:c r="D11" s="93" t="n">
        <x:v>2</x:v>
      </x:c>
      <x:c r="E11" s="93" t="n">
        <x:v>2</x:v>
      </x:c>
      <x:c r="F11" s="93" t="n">
        <x:v>0</x:v>
      </x:c>
      <x:c r="G11" s="93" t="n">
        <x:v>0</x:v>
      </x:c>
      <x:c r="H11" s="93" t="n">
        <x:v>2</x:v>
      </x:c>
      <x:c r="I11" s="93" t="n">
        <x:f>C11-D11</x:f>
        <x:v>-2</x:v>
      </x:c>
      <x:c r="J11" s="93" t="n">
        <x:f>E11-F11</x:f>
        <x:v>2</x:v>
      </x:c>
      <x:c r="K11" s="93" t="n">
        <x:f>G11-H11</x:f>
        <x:v>-2</x:v>
      </x:c>
      <x:c r="L11" s="92" t="str">
        <x:v>永久净-2；后续必须有供水补充。</x:v>
      </x:c>
    </x:row>
    <x:row r="12" ht="30" customHeight="1">
      <x:c r="A12" s="89" t="str">
        <x:v>水井初始抽水+补能一次</x:v>
      </x:c>
      <x:c r="B12" s="89" t="str">
        <x:v>初始1充能，再实际补1充能；抽水2次</x:v>
      </x:c>
      <x:c r="C12" s="90" t="n">
        <x:v>2</x:v>
      </x:c>
      <x:c r="D12" s="90" t="n">
        <x:v>0</x:v>
      </x:c>
      <x:c r="E12" s="90" t="n">
        <x:v>0</x:v>
      </x:c>
      <x:c r="F12" s="90" t="n">
        <x:v>0</x:v>
      </x:c>
      <x:c r="G12" s="90" t="n">
        <x:v>2</x:v>
      </x:c>
      <x:c r="H12" s="90" t="n">
        <x:v>0</x:v>
      </x:c>
      <x:c r="I12" s="90" t="n">
        <x:f>C12-D12</x:f>
        <x:v>2</x:v>
      </x:c>
      <x:c r="J12" s="90" t="n">
        <x:f>E12-F12</x:f>
        <x:v>0</x:v>
      </x:c>
      <x:c r="K12" s="90" t="n">
        <x:f>G12-H12</x:f>
        <x:v>2</x:v>
      </x:c>
      <x:c r="L12" s="89" t="str">
        <x:v>永久净+2；同回合返充或更多补电不能突破2颗上限。</x:v>
      </x:c>
    </x:row>
    <x:row r="13" ht="30" customHeight="1">
      <x:c r="A13" s="92" t="str">
        <x:v>绵羊→剪毛→拍卖</x:v>
      </x:c>
      <x:c r="B13" s="92" t="str">
        <x:v>1只绵羊产1羊毛，同回合由1把拍卖槌卖出</x:v>
      </x:c>
      <x:c r="C13" s="93" t="n">
        <x:v>1</x:v>
      </x:c>
      <x:c r="D13" s="93" t="n">
        <x:v>1</x:v>
      </x:c>
      <x:c r="E13" s="93" t="n">
        <x:v>0</x:v>
      </x:c>
      <x:c r="F13" s="93" t="n">
        <x:v>0</x:v>
      </x:c>
      <x:c r="G13" s="93" t="n">
        <x:v>0</x:v>
      </x:c>
      <x:c r="H13" s="93" t="n">
        <x:v>0</x:v>
      </x:c>
      <x:c r="I13" s="93" t="n">
        <x:f>C13-D13</x:f>
        <x:v>0</x:v>
      </x:c>
      <x:c r="J13" s="93" t="n">
        <x:f>E13-F13</x:f>
        <x:v>0</x:v>
      </x:c>
      <x:c r="K13" s="93" t="n">
        <x:f>G13-H13</x:f>
        <x:v>0</x:v>
      </x:c>
      <x:c r="L13" s="92" t="str">
        <x:v>永久净0；羊与剪保留，羊毛当前分值4时拍卖直接计分12。</x:v>
      </x:c>
    </x:row>
    <x:row r="14" ht="30" customHeight="1">
      <x:c r="A14" s="89" t="str">
        <x:v>岩脉→矿镐→筛矿机，忽略随机支线</x:v>
      </x:c>
      <x:c r="B14" s="89" t="str">
        <x:v>产1原矿，镐产2矿砂，筛出2件宝石或金砂</x:v>
      </x:c>
      <x:c r="C14" s="90" t="n">
        <x:v>5</x:v>
      </x:c>
      <x:c r="D14" s="90" t="n">
        <x:v>3</x:v>
      </x:c>
      <x:c r="E14" s="90" t="n">
        <x:v>0</x:v>
      </x:c>
      <x:c r="F14" s="90" t="n">
        <x:v>0</x:v>
      </x:c>
      <x:c r="G14" s="90" t="n">
        <x:v>0</x:v>
      </x:c>
      <x:c r="H14" s="90" t="n">
        <x:v>0</x:v>
      </x:c>
      <x:c r="I14" s="90" t="n">
        <x:f>C14-D14</x:f>
        <x:v>2</x:v>
      </x:c>
      <x:c r="J14" s="90" t="n">
        <x:f>E14-F14</x:f>
        <x:v>0</x:v>
      </x:c>
      <x:c r="K14" s="90" t="n">
        <x:f>G14-H14</x:f>
        <x:v>0</x:v>
      </x:c>
      <x:c r="L14" s="89" t="str">
        <x:v>永久净+2为两件筛矿产物；随机铁矿或原胚再增加0或1件。</x:v>
      </x:c>
    </x:row>
    <x:row r="15" ht="38" customHeight="1">
      <x:c r="A15" s="92" t="str">
        <x:v>复印机→焚化炉→灵魂石，完整2次</x:v>
      </x:c>
      <x:c r="B15" s="92" t="str">
        <x:v>商品原本保留；纸影2张都焚烧，生成幽灵2个都消耗</x:v>
      </x:c>
      <x:c r="C15" s="93" t="n">
        <x:v>2</x:v>
      </x:c>
      <x:c r="D15" s="93" t="n">
        <x:v>2</x:v>
      </x:c>
      <x:c r="E15" s="93" t="n">
        <x:v>4</x:v>
      </x:c>
      <x:c r="F15" s="93" t="n">
        <x:v>2</x:v>
      </x:c>
      <x:c r="G15" s="93" t="n">
        <x:v>0</x:v>
      </x:c>
      <x:c r="H15" s="93" t="n">
        <x:v>0</x:v>
      </x:c>
      <x:c r="I15" s="93" t="n">
        <x:f>C15-D15</x:f>
        <x:v>0</x:v>
      </x:c>
      <x:c r="J15" s="93" t="n">
        <x:f>E15-F15</x:f>
        <x:v>2</x:v>
      </x:c>
      <x:c r="K15" s="93" t="n">
        <x:f>G15-H15</x:f>
        <x:v>0</x:v>
      </x:c>
      <x:c r="L15" s="92" t="str">
        <x:v>永久净0；存活临时魂火2。临时生成4包括2纸影和2魂火。</x:v>
      </x:c>
    </x:row>
    <x:row r="16" ht="30" customHeight="1">
      <x:c r="A16" s="89" t="str">
        <x:v>普通蛋完成第三次存活结算</x:v>
      </x:c>
      <x:c r="B16" s="89" t="str">
        <x:v>孵化为1只雏鸡，同一实例替换</x:v>
      </x:c>
      <x:c r="C16" s="90" t="n">
        <x:v>0</x:v>
      </x:c>
      <x:c r="D16" s="90" t="n">
        <x:v>0</x:v>
      </x:c>
      <x:c r="E16" s="90" t="n">
        <x:v>0</x:v>
      </x:c>
      <x:c r="F16" s="90" t="n">
        <x:v>0</x:v>
      </x:c>
      <x:c r="G16" s="90" t="n">
        <x:v>0</x:v>
      </x:c>
      <x:c r="H16" s="90" t="n">
        <x:v>0</x:v>
      </x:c>
      <x:c r="I16" s="90" t="n">
        <x:f>C16-D16</x:f>
        <x:v>0</x:v>
      </x:c>
      <x:c r="J16" s="90" t="n">
        <x:f>E16-F16</x:f>
        <x:v>0</x:v>
      </x:c>
      <x:c r="K16" s="90" t="n">
        <x:f>G16-H16</x:f>
        <x:v>0</x:v>
      </x:c>
      <x:c r="L16" s="89" t="str">
        <x:v>永久净0，不创建第二个物品；第3次结算仍按蛋2分。</x:v>
      </x:c>
    </x:row>
    <x:row r="17" ht="38" customHeight="1">
      <x:c r="A17" s="92" t="str">
        <x:v>三选一奖励的全局影响</x:v>
      </x:c>
      <x:c r="B17" s="92" t="str">
        <x:v>前述净0循环每轮成立，且奖励选取1件永久物品</x:v>
      </x:c>
      <x:c r="C17" s="93" t="n">
        <x:v>1</x:v>
      </x:c>
      <x:c r="D17" s="93" t="n">
        <x:v>0</x:v>
      </x:c>
      <x:c r="E17" s="93" t="n">
        <x:v>0</x:v>
      </x:c>
      <x:c r="F17" s="93" t="n">
        <x:v>0</x:v>
      </x:c>
      <x:c r="G17" s="93" t="n">
        <x:v>0</x:v>
      </x:c>
      <x:c r="H17" s="93" t="n">
        <x:v>0</x:v>
      </x:c>
      <x:c r="I17" s="93" t="n">
        <x:f>C17-D17</x:f>
        <x:v>1</x:v>
      </x:c>
      <x:c r="J17" s="93" t="n">
        <x:f>E17-F17</x:f>
        <x:v>0</x:v>
      </x:c>
      <x:c r="K17" s="93" t="n">
        <x:f>G17-H17</x:f>
        <x:v>0</x:v>
      </x:c>
      <x:c r="L17" s="92" t="str">
        <x:v>仍会因奖励而每轮净+1；不能将资源闭合称为全局牌库恒定。</x:v>
      </x:c>
    </x:row>
    <x:row r="18" ht="30" customHeight="1">
      <x:c r="A18" s="89" t="str">
        <x:v>幽灵之门→灵魂石，基础续航</x:v>
      </x:c>
      <x:c r="B18" s="89" t="str">
        <x:v>门接触石产1幽灵，石再接触并消费该幽灵</x:v>
      </x:c>
      <x:c r="C18" s="90" t="n">
        <x:v>1</x:v>
      </x:c>
      <x:c r="D18" s="90" t="n">
        <x:v>1</x:v>
      </x:c>
      <x:c r="E18" s="90" t="n">
        <x:v>0</x:v>
      </x:c>
      <x:c r="F18" s="90" t="n">
        <x:v>0</x:v>
      </x:c>
      <x:c r="G18" s="90" t="n">
        <x:v>0</x:v>
      </x:c>
      <x:c r="H18" s="90" t="n">
        <x:v>0</x:v>
      </x:c>
      <x:c r="I18" s="90" t="n">
        <x:f>C18-D18</x:f>
        <x:v>0</x:v>
      </x:c>
      <x:c r="J18" s="90" t="n">
        <x:f>E18-F18</x:f>
        <x:v>0</x:v>
      </x:c>
      <x:c r="K18" s="90" t="n">
        <x:f>G18-H18</x:f>
        <x:v>0</x:v>
      </x:c>
      <x:c r="L18" s="89" t="str">
        <x:v>永久净0。两件核心合计：门1+石(2+2+3)+幽灵被消耗直接计分2=10；不含其他加成。</x:v>
      </x:c>
    </x:row>
    <x:row r="19" ht="30" customHeight="1">
      <x:c r="A19" s="30" t="str">
        <x:v>“永久新增”包括该行列明的生成或奖励入库，不把奖励选择当成生成事件。临时净新增不包含结算后自然清理。</x:v>
      </x:c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</x:row>
    <x:row r="21" ht="32" customHeight="1">
      <x:c r="A21" s="109" t="str">
        <x:v>抽样与孵化等待：每种关键卡各只有1件，牌库规模固定</x:v>
      </x:c>
      <x:c r="B21" s="109"/>
      <x:c r="C21" s="109"/>
      <x:c r="D21" s="109"/>
      <x:c r="E21" s="109"/>
      <x:c r="F21" s="109"/>
      <x:c r="G21" s="109"/>
      <x:c r="H21" s="109"/>
      <x:c r="I21" s="109"/>
      <x:c r="J21" s="109"/>
      <x:c r="K21" s="109"/>
      <x:c r="L21" s="109"/>
    </x:row>
    <x:row r="23" ht="68" customHeight="1">
      <x:c r="A23" s="88" t="str">
        <x:v>固定牌库件数N</x:v>
      </x:c>
      <x:c r="B23" s="88" t="str">
        <x:v>每回合抽取件数</x:v>
      </x:c>
      <x:c r="C23" s="88" t="str">
        <x:v>单卡入场率</x:v>
      </x:c>
      <x:c r="D23" s="88" t="str">
        <x:v>指定2卡同场率</x:v>
      </x:c>
      <x:c r="E23" s="88" t="str">
        <x:v>指定3卡同场率</x:v>
      </x:c>
      <x:c r="F23" s="88" t="str">
        <x:v>平均孵化发生回合</x:v>
      </x:c>
      <x:c r="G23" s="88" t="str">
        <x:v>雏鸡首次计分平均回合</x:v>
      </x:c>
      <x:c r="H23" s="101" t="str">
        <x:v>N≥16。假设每回合从固定N件中随机不放回抽16件，跨回合重新抽取。新蛋生成当回合存活已记第1次，标为回合1；之后等两次入场完成孵化，再等一次入场才能按雏鸡计分。假设始终存活、不被消耗。产物与奖励通常让N增长，因此实际等待可能更长；这些公式不是每局完成时间的保证。</x:v>
      </x:c>
      <x:c r="I23" s="101"/>
      <x:c r="J23" s="101"/>
      <x:c r="K23" s="101"/>
      <x:c r="L23" s="101"/>
    </x:row>
    <x:row r="24" ht="36" customHeight="1">
      <x:c r="A24" s="111" t="n">
        <x:v>16</x:v>
      </x:c>
      <x:c r="B24" s="111" t="n">
        <x:v>16</x:v>
      </x:c>
      <x:c r="C24" s="112" t="n">
        <x:f>B24/A24</x:f>
        <x:v>1</x:v>
      </x:c>
      <x:c r="D24" s="112" t="n">
        <x:f>B24*(B24-1)/(A24*(A24-1))</x:f>
        <x:v>1</x:v>
      </x:c>
      <x:c r="E24" s="112" t="n">
        <x:f>B24*(B24-1)*(B24-2)/(A24*(A24-1)*(A24-2))</x:f>
        <x:v>1</x:v>
      </x:c>
      <x:c r="F24" s="113" t="n">
        <x:f>1+2*A24/B24</x:f>
        <x:v>3</x:v>
      </x:c>
      <x:c r="G24" s="113" t="n">
        <x:f>1+3*A24/B24</x:f>
        <x:v>4</x:v>
      </x:c>
      <x:c r="H24" s="101"/>
      <x:c r="I24" s="101"/>
      <x:c r="J24" s="101"/>
      <x:c r="K24" s="101"/>
      <x:c r="L24" s="101"/>
    </x:row>
    <x:row r="25" ht="36" customHeight="1">
      <x:c r="A25" s="111" t="n">
        <x:v>24</x:v>
      </x:c>
      <x:c r="B25" s="111" t="n">
        <x:v>16</x:v>
      </x:c>
      <x:c r="C25" s="112" t="n">
        <x:f>B25/A25</x:f>
        <x:v>0.6666666666666666</x:v>
      </x:c>
      <x:c r="D25" s="112" t="n">
        <x:f>B25*(B25-1)/(A25*(A25-1))</x:f>
        <x:v>0.43478260869565216</x:v>
      </x:c>
      <x:c r="E25" s="112" t="n">
        <x:f>B25*(B25-1)*(B25-2)/(A25*(A25-1)*(A25-2))</x:f>
        <x:v>0.2766798418972332</x:v>
      </x:c>
      <x:c r="F25" s="113" t="n">
        <x:f>1+2*A25/B25</x:f>
        <x:v>4</x:v>
      </x:c>
      <x:c r="G25" s="113" t="n">
        <x:f>1+3*A25/B25</x:f>
        <x:v>5.5</x:v>
      </x:c>
      <x:c r="H25" s="101"/>
      <x:c r="I25" s="101"/>
      <x:c r="J25" s="101"/>
      <x:c r="K25" s="101"/>
      <x:c r="L25" s="101"/>
    </x:row>
    <x:row r="26" ht="36" customHeight="1">
      <x:c r="A26" s="111" t="n">
        <x:v>32</x:v>
      </x:c>
      <x:c r="B26" s="111" t="n">
        <x:v>16</x:v>
      </x:c>
      <x:c r="C26" s="112" t="n">
        <x:f>B26/A26</x:f>
        <x:v>0.5</x:v>
      </x:c>
      <x:c r="D26" s="112" t="n">
        <x:f>B26*(B26-1)/(A26*(A26-1))</x:f>
        <x:v>0.24193548387096775</x:v>
      </x:c>
      <x:c r="E26" s="112" t="n">
        <x:f>B26*(B26-1)*(B26-2)/(A26*(A26-1)*(A26-2))</x:f>
        <x:v>0.11290322580645161</x:v>
      </x:c>
      <x:c r="F26" s="113" t="n">
        <x:f>1+2*A26/B26</x:f>
        <x:v>5</x:v>
      </x:c>
      <x:c r="G26" s="113" t="n">
        <x:f>1+3*A26/B26</x:f>
        <x:v>7</x:v>
      </x:c>
      <x:c r="H26" s="101"/>
      <x:c r="I26" s="101"/>
      <x:c r="J26" s="101"/>
      <x:c r="K26" s="101"/>
      <x:c r="L26" s="101"/>
    </x:row>
    <x:row r="27" ht="36" customHeight="1">
      <x:c r="A27" s="111" t="n">
        <x:v>48</x:v>
      </x:c>
      <x:c r="B27" s="111" t="n">
        <x:v>16</x:v>
      </x:c>
      <x:c r="C27" s="112" t="n">
        <x:f>B27/A27</x:f>
        <x:v>0.3333333333333333</x:v>
      </x:c>
      <x:c r="D27" s="112" t="n">
        <x:f>B27*(B27-1)/(A27*(A27-1))</x:f>
        <x:v>0.10638297872340426</x:v>
      </x:c>
      <x:c r="E27" s="112" t="n">
        <x:f>B27*(B27-1)*(B27-2)/(A27*(A27-1)*(A27-2))</x:f>
        <x:v>0.032377428307123035</x:v>
      </x:c>
      <x:c r="F27" s="113" t="n">
        <x:f>1+2*A27/B27</x:f>
        <x:v>7</x:v>
      </x:c>
      <x:c r="G27" s="113" t="n">
        <x:f>1+3*A27/B27</x:f>
        <x:v>10</x:v>
      </x:c>
      <x:c r="H27" s="101"/>
      <x:c r="I27" s="101"/>
      <x:c r="J27" s="101"/>
      <x:c r="K27" s="101"/>
      <x:c r="L27" s="101"/>
    </x:row>
    <x:row r="30" ht="32" customHeight="1">
      <x:c r="A30" s="109" t="str">
        <x:v>全目录循环判断：21条资源链与持有路线，覆盖12个主流派</x:v>
      </x:c>
      <x:c r="B30" s="109"/>
      <x:c r="C30" s="109"/>
      <x:c r="D30" s="109"/>
      <x:c r="E30" s="109"/>
      <x:c r="F30" s="109"/>
      <x:c r="G30" s="109"/>
      <x:c r="H30" s="109"/>
      <x:c r="I30" s="109"/>
      <x:c r="J30" s="109"/>
      <x:c r="K30" s="109"/>
      <x:c r="L30" s="109"/>
    </x:row>
    <x:row r="32" ht="40" customHeight="1">
      <x:c r="A32" s="88" t="str">
        <x:v>链路</x:v>
      </x:c>
      <x:c r="B32" s="88" t="str">
        <x:v>循环定位</x:v>
      </x:c>
      <x:c r="C32" s="88" t="str">
        <x:v>组件、消耗与产出</x:v>
      </x:c>
      <x:c r="D32" s="88"/>
      <x:c r="E32" s="88"/>
      <x:c r="F32" s="88"/>
      <x:c r="G32" s="88" t="str">
        <x:v>触发上限与永久数量变化</x:v>
      </x:c>
      <x:c r="H32" s="88"/>
      <x:c r="I32" s="88"/>
      <x:c r="J32" s="88" t="str">
        <x:v>可行性判断及本轮调整</x:v>
      </x:c>
      <x:c r="K32" s="88"/>
      <x:c r="L32" s="88"/>
    </x:row>
    <x:row r="33" ht="60" customHeight="1">
      <x:c r="A33" s="89" t="str">
        <x:v>C01 供水</x:v>
      </x:c>
      <x:c r="B33" s="89" t="str">
        <x:v>可持续供给</x:v>
      </x:c>
      <x:c r="C33" s="89" t="str">
        <x:v>组件：雨云、水井。消耗：雨云无耗材；水井每颗花费1充能。产出：雨云2水；水井初始1水、补能后最多2水。</x:v>
      </x:c>
      <x:c r="D33" s="89"/>
      <x:c r="E33" s="89"/>
      <x:c r="F33" s="89"/>
      <x:c r="G33" s="89" t="str">
        <x:v>上限：每来源每回合各按上限。永久变化：雨云+2；水井+1或+2。</x:v>
      </x:c>
      <x:c r="H33" s="89"/>
      <x:c r="I33" s="89"/>
      <x:c r="J33" s="89" t="str">
        <x:v>冰块融化是一次性补水，不能算长期来源。水珠留牌后是永久库存实体。 本轮：原1水改2水；新增水井作为不同机制的第二来源。</x:v>
      </x:c>
      <x:c r="K33" s="89"/>
      <x:c r="L33" s="89"/>
    </x:row>
    <x:row r="34" ht="60" customHeight="1">
      <x:c r="A34" s="92" t="str">
        <x:v>C02 种植→烹饪</x:v>
      </x:c>
      <x:c r="B34" s="92" t="str">
        <x:v>可持续加工，需出口</x:v>
      </x:c>
      <x:c r="C34" s="92" t="str">
        <x:v>组件：雨云、葡萄藤、平底锅、饕餮嘴或拍卖槌。消耗：葡萄藤消耗1水；平底锅消耗1食材。产出：2葡萄；每锅1热餐。</x:v>
      </x:c>
      <x:c r="D34" s="92"/>
      <x:c r="E34" s="92"/>
      <x:c r="F34" s="92"/>
      <x:c r="G34" s="92" t="str">
        <x:v>上限：每藤1次；每锅1次；嘴2次或槌1次。永久变化：葡萄加工+1；热餐加工0；嘴/槌每消费1件为-1。</x:v>
      </x:c>
      <x:c r="H34" s="92"/>
      <x:c r="I34" s="92"/>
      <x:c r="J34" s="92" t="str">
        <x:v>源能补料，但把水果变热餐不缩减牌库。想控制体积要实际消费商品或食物。 本轮：保持固定产物价值，不用未验证的无限加工奖励。</x:v>
      </x:c>
      <x:c r="K34" s="92"/>
      <x:c r="L34" s="92"/>
    </x:row>
    <x:row r="35" ht="60" customHeight="1">
      <x:c r="A35" s="89" t="str">
        <x:v>C03 种植→谷物→牧场</x:v>
      </x:c>
      <x:c r="B35" s="89" t="str">
        <x:v>可持续供给，产物会积累</x:v>
      </x:c>
      <x:c r="C35" s="89" t="str">
        <x:v>组件：雨云、麦田、母鸡或奶牛。消耗：1水→2谷穗；每动物吃1谷穗。产出：每母鸡2蛋，或每奶牛1奶。</x:v>
      </x:c>
      <x:c r="D35" s="89"/>
      <x:c r="E35" s="89"/>
      <x:c r="F35" s="89"/>
      <x:c r="G35" s="89" t="str">
        <x:v>上限：每田1次；每动物1次。永久变化：麦田加工+1；母鸡进食+1；奶牛进食0。</x:v>
      </x:c>
      <x:c r="H35" s="89"/>
      <x:c r="I35" s="89"/>
      <x:c r="J35" s="89" t="str">
        <x:v>1麦田可供1鸡和1牛各进食，前提是它们同场并成功接触。两只动物不争同一束已消耗谷物。 本轮：补上此前缺失的谷物源。</x:v>
      </x:c>
      <x:c r="K35" s="89"/>
      <x:c r="L35" s="89"/>
    </x:row>
    <x:row r="36" ht="60" customHeight="1">
      <x:c r="A36" s="92" t="str">
        <x:v>C04 牧场／孵化</x:v>
      </x:c>
      <x:c r="B36" s="92" t="str">
        <x:v>成长终点，可重复抽取</x:v>
      </x:c>
      <x:c r="C36" s="92" t="str">
        <x:v>组件：蛋或双黄蛋。消耗：无需耗材；累计3次自身存活结算。产出：原地变成1只雏鸡，基础分8。</x:v>
      </x:c>
      <x:c r="D36" s="92"/>
      <x:c r="E36" s="92"/>
      <x:c r="F36" s="92"/>
      <x:c r="G36" s="92" t="str">
        <x:v>上限：每蛋每回合进度+1，变形1次。永久变化：0。</x:v>
      </x:c>
      <x:c r="H36" s="92"/>
      <x:c r="I36" s="92"/>
      <x:c r="J36" s="92" t="str">
        <x:v>新蛋首轮可记1次。未抽到不推进；第3轮仍按蛋结算。雏鸡不自动成为母鸡，避免隐性繁殖。 本轮：删除I027；双黄蛋同规则；动物与成长遗物边界已同步。</x:v>
      </x:c>
      <x:c r="K36" s="92"/>
      <x:c r="L36" s="92"/>
    </x:row>
    <x:row r="37" ht="60" customHeight="1">
      <x:c r="A37" s="89" t="str">
        <x:v>C05 牧场／剪毛与出售</x:v>
      </x:c>
      <x:c r="B37" s="89" t="str">
        <x:v>可持续，出口需同场</x:v>
      </x:c>
      <x:c r="C37" s="89" t="str">
        <x:v>组件：绵羊、剪毛剪、拍卖槌。消耗：剪毛不消耗羊和剪；出售消耗羊毛。产出：每羊1羊毛；裸羊毛出售直接计分12。</x:v>
      </x:c>
      <x:c r="D37" s="89"/>
      <x:c r="E37" s="89"/>
      <x:c r="F37" s="89"/>
      <x:c r="G37" s="89" t="str">
        <x:v>上限：羊1次；剪每回合最多3羊；每槌1次。永久变化：产毛+1，卖毛-1，配平为0。</x:v>
      </x:c>
      <x:c r="H37" s="89"/>
      <x:c r="I37" s="89"/>
      <x:c r="J37" s="89" t="str">
        <x:v>多只羊需要多个消费机会，否则羊毛会积累。展示只给分，不回收牌库。 本轮：拍卖取消基础分8门槛，打通低分商品出口。</x:v>
      </x:c>
      <x:c r="K37" s="89"/>
      <x:c r="L37" s="89"/>
    </x:row>
    <x:row r="38" ht="60" customHeight="1">
      <x:c r="A38" s="92" t="str">
        <x:v>C06 种植／吸水增值</x:v>
      </x:c>
      <x:c r="B38" s="92" t="str">
        <x:v>可持续但吃供水</x:v>
      </x:c>
      <x:c r="C38" s="92" t="str">
        <x:v>组件：南瓜苗或海绵，加供水源。消耗：每次消耗1水珠。产出：南瓜苗每水+3；海绵每水+5。</x:v>
      </x:c>
      <x:c r="D38" s="92"/>
      <x:c r="E38" s="92"/>
      <x:c r="F38" s="92"/>
      <x:c r="G38" s="92" t="str">
        <x:v>上限：苗最多3次；海绵最多2次。永久变化：每次-1，不含供水源。</x:v>
      </x:c>
      <x:c r="H38" s="92"/>
      <x:c r="I38" s="92"/>
      <x:c r="J38" s="92" t="str">
        <x:v>只提供本回合分值，不会自动长出南瓜商品。1云2水无法同时满足苗满额3次和其他用途。 本轮：明确供水分配，不为各支线默认免费补满。</x:v>
      </x:c>
      <x:c r="K38" s="92"/>
      <x:c r="L38" s="92"/>
    </x:row>
    <x:row r="39" ht="60" customHeight="1">
      <x:c r="A39" s="89" t="str">
        <x:v>C07 矿业／开采筛选</x:v>
      </x:c>
      <x:c r="B39" s="89" t="str">
        <x:v>主链可重复，随机支线低频</x:v>
      </x:c>
      <x:c r="C39" s="89" t="str">
        <x:v>组件：岩脉、矿工镐、筛矿机。消耗：矿镐吃1原矿→2矿砂；筛矿每次吃1矿砂。产出：稳定1原矿；20%另1铁矿或10%另1原胚；矿砂→晶屑或金砂。</x:v>
      </x:c>
      <x:c r="D39" s="89"/>
      <x:c r="E39" s="89"/>
      <x:c r="F39" s="89"/>
      <x:c r="G39" s="89" t="str">
        <x:v>上限：岩脉1次；镐1次；筛最多2次。永久变化：完整主链含开采净+2；随机矿料另+0或+1。</x:v>
      </x:c>
      <x:c r="H39" s="89"/>
      <x:c r="I39" s="89"/>
      <x:c r="J39" s="89" t="str">
        <x:v>多阶段需要10秒内重新接触。铁矿平均每次开采0.2块、原胚0.1块，不能按每轮都有规划。 本轮：保留稳定原矿，增加两类低频矿料续航。</x:v>
      </x:c>
      <x:c r="K39" s="89"/>
      <x:c r="L39" s="89"/>
    </x:row>
    <x:row r="40" ht="60" customHeight="1">
      <x:c r="A40" s="92" t="str">
        <x:v>C08 矿业／熔炼切割</x:v>
      </x:c>
      <x:c r="B40" s="92" t="str">
        <x:v>有来源但需积累材料</x:v>
      </x:c>
      <x:c r="C40" s="92" t="str">
        <x:v>组件：熔炉+火源+铁矿；切割器+原胚。消耗：每加工消耗1指定矿料。产出：铁锭10或晶屑8；可出售。</x:v>
      </x:c>
      <x:c r="D40" s="92"/>
      <x:c r="E40" s="92"/>
      <x:c r="F40" s="92"/>
      <x:c r="G40" s="92" t="str">
        <x:v>上限：每工具每回合1次。永久变化：加工0；出售再-1。</x:v>
      </x:c>
      <x:c r="H40" s="92"/>
      <x:c r="I40" s="92"/>
      <x:c r="J40" s="92" t="str">
        <x:v>岩脉支线供料慢，三选一可补料。不要同时堆很多熔炉而没有铁矿。火源不被消耗。 本轮：不把石头随意炼金属，保留明确原料要求。</x:v>
      </x:c>
      <x:c r="K40" s="92"/>
      <x:c r="L40" s="92"/>
    </x:row>
    <x:row r="41" ht="60" customHeight="1">
      <x:c r="A41" s="89" t="str">
        <x:v>C09 元素／蒸汽</x:v>
      </x:c>
      <x:c r="B41" s="89" t="str">
        <x:v>无遗物吃水；有冷凝管可有限回用</x:v>
      </x:c>
      <x:c r="C41" s="89" t="str">
        <x:v>组件：锅炉、火源、水珠；冷凝管可选。消耗：每锅炉加工消耗1水。产出：每次1临时蒸汽8；冷凝管前2次各返1永久水。</x:v>
      </x:c>
      <x:c r="D41" s="89"/>
      <x:c r="E41" s="89"/>
      <x:c r="F41" s="89"/>
      <x:c r="G41" s="89" t="str">
        <x:v>上限：每锅炉2次；冷凝管全回合最多2次。永久变化：无冷凝每次-1；有冷凝的前2次为0。</x:v>
      </x:c>
      <x:c r="H41" s="89"/>
      <x:c r="I41" s="89"/>
      <x:c r="J41" s="89" t="str">
        <x:v>一颗启动水可连续回用两次，但锅炉额度不刷新。多锅炉超出2次后仍耗永久水。 本轮：回收上限1改2，匹配单锅炉上限。</x:v>
      </x:c>
      <x:c r="K41" s="89"/>
      <x:c r="L41" s="89"/>
    </x:row>
    <x:row r="42" ht="60" customHeight="1">
      <x:c r="A42" s="92" t="str">
        <x:v>C10 元素／烟火</x:v>
      </x:c>
      <x:c r="B42" s="92" t="str">
        <x:v>有限爆发</x:v>
      </x:c>
      <x:c r="C42" s="92" t="str">
        <x:v>组件：鞭炮、火源。消耗：永久消耗1鞭炮。产出：3临时礼花；单独基础合计12。</x:v>
      </x:c>
      <x:c r="D42" s="92"/>
      <x:c r="E42" s="92"/>
      <x:c r="F42" s="92"/>
      <x:c r="G42" s="92" t="str">
        <x:v>上限：每个鞭炮1次。永久变化：-1。</x:v>
      </x:c>
      <x:c r="H42" s="92"/>
      <x:c r="I42" s="92"/>
      <x:c r="J42" s="92" t="str">
        <x:v>鞭炮不会再生，不应作为跨多回合的稳定主轴。烟火庆典只增强这次爆发。 本轮：保留一次性设计，不强加循环产鞭炮。</x:v>
      </x:c>
      <x:c r="K42" s="92"/>
      <x:c r="L42" s="92"/>
    </x:row>
    <x:row r="43" ht="60" customHeight="1">
      <x:c r="A43" s="89" t="str">
        <x:v>C11 集市</x:v>
      </x:c>
      <x:c r="B43" s="89" t="str">
        <x:v>持有型可续航；出售型依赖供货</x:v>
      </x:c>
      <x:c r="C43" s="89" t="str">
        <x:v>组件：金币+招财猪/钱包；商品+拍卖槌。消耗：持有增值不耗材；拍卖消耗1商品。产出：货币升值或商品当前分值×3直接计分。</x:v>
      </x:c>
      <x:c r="D43" s="89"/>
      <x:c r="E43" s="89"/>
      <x:c r="F43" s="89"/>
      <x:c r="G43" s="89" t="str">
        <x:v>上限：每槌1件；其余按卡面。永久变化：持有0；出售每件-1。</x:v>
      </x:c>
      <x:c r="H43" s="89"/>
      <x:c r="I43" s="89"/>
      <x:c r="J43" s="89" t="str">
        <x:v>羊毛、牛奶、晶屑等均可出售。销售稀释核心的产物，但仍需稳定来源；不会返还被卖物。 本轮：扩展商品出口而不增加商店或内部库存。</x:v>
      </x:c>
      <x:c r="K43" s="89"/>
      <x:c r="L43" s="89"/>
    </x:row>
    <x:row r="44" ht="60" customHeight="1">
      <x:c r="A44" s="92" t="str">
        <x:v>C12 机械／用电</x:v>
      </x:c>
      <x:c r="B44" s="92" t="str">
        <x:v>可持续，有限预算</x:v>
      </x:c>
      <x:c r="C44" s="92" t="str">
        <x:v>组件：电池、雷晶石、玩具、电容、复印机、水井。消耗：充能按卡面花费；正常入瓶恢复初始值。产出：自身增值、留电分、临时纸影或永久水珠。</x:v>
      </x:c>
      <x:c r="D44" s="92"/>
      <x:c r="E44" s="92"/>
      <x:c r="F44" s="92"/>
      <x:c r="G44" s="92" t="str">
        <x:v>上限：玩具4次；复印机2张；水井2水。永久变化：玩具/电容/复印机0；水井每水+1。</x:v>
      </x:c>
      <x:c r="H44" s="92"/>
      <x:c r="I44" s="92"/>
      <x:c r="J44" s="92" t="str">
        <x:v>补电不增加产量次数。过载许可证要求单件花费3充能，当前主要服务玩具；不能默认泵或复印机也触发。 本轮：水井填补跨流派资源转换；检查节能返充不会无限产水。</x:v>
      </x:c>
      <x:c r="K44" s="92"/>
      <x:c r="L44" s="92"/>
    </x:row>
    <x:row r="45" ht="68" customHeight="1">
      <x:c r="A45" s="89" t="str">
        <x:v>C13 灵魂／持续供魂</x:v>
      </x:c>
      <x:c r="B45" s="89" t="str">
        <x:v>基础两件可续航；四件为扩展</x:v>
      </x:c>
      <x:c r="C45" s="89" t="str">
        <x:v>组件：幽灵之门+灵魂石；或商品+复印机+焚化炉+灵魂石。消耗：门不消耗自身；石消费幽灵。纸影支线每张花1充能并被炉消耗。产出：每门1永久幽灵；每纸影→1临时魂火+1永久幽灵；消魂直接计分2。</x:v>
      </x:c>
      <x:c r="D45" s="89"/>
      <x:c r="E45" s="89"/>
      <x:c r="F45" s="89"/>
      <x:c r="G45" s="89" t="str">
        <x:v>上限：每门1次；复印机/炉/石各最多2次。永久变化：生成幽灵再消费为0；保留幽灵则每个+1。</x:v>
      </x:c>
      <x:c r="H45" s="89"/>
      <x:c r="I45" s="89"/>
      <x:c r="J45" s="89" t="str">
        <x:v>门与石两件即可衔接，避免必须凑四组件。四件扩展产量更高但同场率更低。原商品不消耗。 本轮：灵魂罐重做为幽灵之门；纸影提供可选扩展，不作为唯一长期供魂途径。</x:v>
      </x:c>
      <x:c r="K45" s="89"/>
      <x:c r="L45" s="89"/>
    </x:row>
    <x:row r="46" ht="60" customHeight="1">
      <x:c r="A46" s="92" t="str">
        <x:v>C14 灵魂／复活</x:v>
      </x:c>
      <x:c r="B46" s="92" t="str">
        <x:v>一次补救，非无限复制</x:v>
      </x:c>
      <x:c r="C46" s="92" t="str">
        <x:v>组件：轮回匣、幽灵、已消耗低分永久物品。消耗：消耗1幽灵，复活1件已在当回合弃牌堆的物品。产出：取回同一实例，保留所有已用次数。</x:v>
      </x:c>
      <x:c r="D46" s="92"/>
      <x:c r="E46" s="92"/>
      <x:c r="F46" s="92"/>
      <x:c r="G46" s="92" t="str">
        <x:v>上限：每匣1次。永久变化：本次-1+1=0；此前目标已消耗仍须另计。</x:v>
      </x:c>
      <x:c r="H46" s="92"/>
      <x:c r="I46" s="92"/>
      <x:c r="J46" s="92" t="str">
        <x:v>复活已产过幽灵的纸人，不会再次刷新产魂额度；多个轮回匣也不会重置该实例的次数。下回合清空弃牌堆。 本轮：保留身份与预算，排除复活刷产物的伪循环。</x:v>
      </x:c>
      <x:c r="K46" s="92"/>
      <x:c r="L46" s="92"/>
    </x:row>
    <x:row r="47" ht="60" customHeight="1">
      <x:c r="A47" s="89" t="str">
        <x:v>C15 宝石</x:v>
      </x:c>
      <x:c r="B47" s="89" t="str">
        <x:v>保留型可重复</x:v>
      </x:c>
      <x:c r="C47" s="89" t="str">
        <x:v>组件：宝石、共鸣石、调音叉、镜片；黄玉可选。消耗：通常不消耗；黄玉额外产物增加牌库。产出：接触增值与结算倍率，或每黄玉1商品。</x:v>
      </x:c>
      <x:c r="D47" s="89"/>
      <x:c r="E47" s="89"/>
      <x:c r="F47" s="89"/>
      <x:c r="G47" s="89" t="str">
        <x:v>上限：按每来源/目标限制。永久变化：不生成时0；黄玉每追加1件为+1。</x:v>
      </x:c>
      <x:c r="H47" s="89"/>
      <x:c r="I47" s="89"/>
      <x:c r="J47" s="89" t="str">
        <x:v>晶屑重复生成不能充当多个宝石种类。五种宝石奖励要靠不同宝石构筑，不能把同名产物当五种。 本轮：孵化不被黄玉复制，避免出生时二次产鸡。</x:v>
      </x:c>
      <x:c r="K47" s="89"/>
      <x:c r="L47" s="89"/>
    </x:row>
    <x:row r="48" ht="60" customHeight="1">
      <x:c r="A48" s="92" t="str">
        <x:v>C16 探险／训练与战斗</x:v>
      </x:c>
      <x:c r="B48" s="92" t="str">
        <x:v>木偶可续航；巨像有限爆发</x:v>
      </x:c>
      <x:c r="C48" s="92" t="str">
        <x:v>组件：木剑、训练木偶或巨像。消耗：固定1伤害；须分离再接触。产出：木偶稳定受击分；巨像掉奖杯与零钱。</x:v>
      </x:c>
      <x:c r="D48" s="92"/>
      <x:c r="E48" s="92"/>
      <x:c r="F48" s="92"/>
      <x:c r="G48" s="92" t="str">
        <x:v>上限：每剑3次；每木偶3伤害；巨像3伤害退场。永久变化：木偶0；巨像退场产2件，净+1。</x:v>
      </x:c>
      <x:c r="H48" s="92"/>
      <x:c r="I48" s="92"/>
      <x:c r="J48" s="92" t="str">
        <x:v>单剑现在能完成击败，仍需物理接触成功。巨像不自动刷新；磨刀石只按实际伤害给分。 本轮：解除必须三把剑同时入场的门槛。</x:v>
      </x:c>
      <x:c r="K48" s="92"/>
      <x:c r="L48" s="92"/>
    </x:row>
    <x:row r="49" ht="60" customHeight="1">
      <x:c r="A49" s="89" t="str">
        <x:v>C17 探险／开箱</x:v>
      </x:c>
      <x:c r="B49" s="89" t="str">
        <x:v>有限消耗支线</x:v>
      </x:c>
      <x:c r="C49" s="89" t="str">
        <x:v>组件：宝箱、钥匙；备用钥匙圈可选。消耗：消耗宝箱和钥匙各1。产出：宝藏徽记+晶屑，钥匙直接计分3。</x:v>
      </x:c>
      <x:c r="D49" s="89"/>
      <x:c r="E49" s="89"/>
      <x:c r="F49" s="89"/>
      <x:c r="G49" s="89" t="str">
        <x:v>上限：每箱1次；遗物每回合最多补1钥匙。永久变化：开箱本身0；若遗物新生钥匙另+1。</x:v>
      </x:c>
      <x:c r="H49" s="89"/>
      <x:c r="I49" s="89"/>
      <x:c r="J49" s="89" t="str">
        <x:v>遗物只补钥匙，不补宝箱。宝箱是奖励阶段补充的一次性价值包。 本轮：保留爆发定位，不凭空设计无限宝箱。</x:v>
      </x:c>
      <x:c r="K49" s="89"/>
      <x:c r="L49" s="89"/>
    </x:row>
    <x:row r="50" ht="60" customHeight="1">
      <x:c r="A50" s="92" t="str">
        <x:v>C18 连锁／增值接力</x:v>
      </x:c>
      <x:c r="B50" s="92" t="str">
        <x:v>可持续，不必消耗</x:v>
      </x:c>
      <x:c r="C50" s="92" t="str">
        <x:v>组件：外部增值源、接力棒、星图或拼图。消耗：通常无永久消耗。产出：先增值再接力，再冻结布局奖励。</x:v>
      </x:c>
      <x:c r="D50" s="92"/>
      <x:c r="E50" s="92"/>
      <x:c r="F50" s="92"/>
      <x:c r="G50" s="92" t="str">
        <x:v>上限：按每来源/目标上限。永久变化：0。</x:v>
      </x:c>
      <x:c r="H50" s="92"/>
      <x:c r="I50" s="92"/>
      <x:c r="J50" s="92" t="str">
        <x:v>须两种不同名称的外部物品，不能把遗物或自身加分当两段。三组件路线需要控制牌库规模。 本轮：保留无耗材主轴，避免与邮寄支线混为一条资源链。</x:v>
      </x:c>
      <x:c r="K50" s="92"/>
      <x:c r="L50" s="92"/>
    </x:row>
    <x:row r="51" ht="60" customHeight="1">
      <x:c r="A51" s="89" t="str">
        <x:v>C19 连锁／信件消费</x:v>
      </x:c>
      <x:c r="B51" s="89" t="str">
        <x:v>有限消耗支线</x:v>
      </x:c>
      <x:c r="C51" s="89" t="str">
        <x:v>组件：印章、信封、邮筒、集邮册可选。消耗：邮筒消耗信封或纪念票。产出：直接计分；首封可经遗物生成纪念票。</x:v>
      </x:c>
      <x:c r="D51" s="89"/>
      <x:c r="E51" s="89"/>
      <x:c r="F51" s="89"/>
      <x:c r="G51" s="89" t="str">
        <x:v>上限：每筒2次；集邮册1票。永久变化：无遗物每消费-1；首封产票净0，之后销票-1。</x:v>
      </x:c>
      <x:c r="H51" s="89"/>
      <x:c r="I51" s="89"/>
      <x:c r="J51" s="89" t="str">
        <x:v>信封没有持续生成源。可选择长期盖章而不寄出；寄信需三选一补充，不是独立无限引擎。 本轮：明确有限定位，不新增为循环而循环的写信设备。</x:v>
      </x:c>
      <x:c r="K51" s="89"/>
      <x:c r="L51" s="89"/>
    </x:row>
    <x:row r="52" ht="60" customHeight="1">
      <x:c r="A52" s="92" t="str">
        <x:v>C20 结算／成长</x:v>
      </x:c>
      <x:c r="B52" s="92" t="str">
        <x:v>可重复，受抽样拖慢</x:v>
      </x:c>
      <x:c r="C52" s="92" t="str">
        <x:v>组件：年轮树、奶酪、果树、黄水晶、结算辅助。消耗：大部分无耗材；果树需耗水。产出：永久成长或冻结分值加成。</x:v>
      </x:c>
      <x:c r="D52" s="92"/>
      <x:c r="E52" s="92"/>
      <x:c r="F52" s="92"/>
      <x:c r="G52" s="92" t="str">
        <x:v>上限：每来源按卡面上限。永久变化：通常0，另计果树产物。</x:v>
      </x:c>
      <x:c r="H52" s="92"/>
      <x:c r="I52" s="92"/>
      <x:c r="J52" s="92" t="str">
        <x:v>成长加分结算后写入。孵化与进度增长不算永久基础分成长；晚期出场次数可能不足以完成3次成长。 本轮：保留成长路线，同时加入抽样与成熟等待估算。</x:v>
      </x:c>
      <x:c r="K52" s="92"/>
      <x:c r="L52" s="92"/>
    </x:row>
    <x:row r="53" ht="60" customHeight="1">
      <x:c r="A53" s="89" t="str">
        <x:v>C21 全局牌库</x:v>
      </x:c>
      <x:c r="B53" s="89" t="str">
        <x:v>边界待定</x:v>
      </x:c>
      <x:c r="C53" s="89" t="str">
        <x:v>组件：全部永久生成与消费路线。消耗：回合末三选一通常再加入1件物品。产出：产物保留提升基础分，但也降低关键组件同场率。</x:v>
      </x:c>
      <x:c r="D53" s="89"/>
      <x:c r="E53" s="89"/>
      <x:c r="F53" s="89"/>
      <x:c r="G53" s="89" t="str">
        <x:v>上限：初始仍固定抽16件。永久变化：本表各链不含三选一；全局需要另加奖励新增量。</x:v>
      </x:c>
      <x:c r="H53" s="89"/>
      <x:c r="I53" s="89"/>
      <x:c r="J53" s="89" t="str">
        <x:v>牌库不足16件规则未定；过度消费路线无法完整验收。初始牌库、掉落权重、目标分数与物理容量也尚未配置。 本轮：不以理论收支替代实际可玩性结论，明确剩余设计依赖。</x:v>
      </x:c>
      <x:c r="K53" s="89"/>
      <x:c r="L53" s="89"/>
    </x:row>
  </x:sheetData>
  <x:mergeCells>
    <x:mergeCell ref="A2:L2"/>
    <x:mergeCell ref="A3:L3"/>
    <x:mergeCell ref="A19:L19"/>
    <x:mergeCell ref="A21:L21"/>
    <x:mergeCell ref="H23:L27"/>
    <x:mergeCell ref="A30:L30"/>
    <x:mergeCell ref="C32:F32"/>
    <x:mergeCell ref="G32:I32"/>
    <x:mergeCell ref="J32:L32"/>
    <x:mergeCell ref="C33:F33"/>
    <x:mergeCell ref="G33:I33"/>
    <x:mergeCell ref="J33:L33"/>
    <x:mergeCell ref="C34:F34"/>
    <x:mergeCell ref="G34:I34"/>
    <x:mergeCell ref="J34:L34"/>
    <x:mergeCell ref="C35:F35"/>
    <x:mergeCell ref="G35:I35"/>
    <x:mergeCell ref="J35:L35"/>
    <x:mergeCell ref="C36:F36"/>
    <x:mergeCell ref="G36:I36"/>
    <x:mergeCell ref="J36:L36"/>
    <x:mergeCell ref="C37:F37"/>
    <x:mergeCell ref="G37:I37"/>
    <x:mergeCell ref="J37:L37"/>
    <x:mergeCell ref="C38:F38"/>
    <x:mergeCell ref="G38:I38"/>
    <x:mergeCell ref="J38:L38"/>
    <x:mergeCell ref="C39:F39"/>
    <x:mergeCell ref="G39:I39"/>
    <x:mergeCell ref="J39:L39"/>
    <x:mergeCell ref="C40:F40"/>
    <x:mergeCell ref="G40:I40"/>
    <x:mergeCell ref="J40:L40"/>
    <x:mergeCell ref="C41:F41"/>
    <x:mergeCell ref="G41:I41"/>
    <x:mergeCell ref="J41:L41"/>
    <x:mergeCell ref="C42:F42"/>
    <x:mergeCell ref="G42:I42"/>
    <x:mergeCell ref="J42:L42"/>
    <x:mergeCell ref="C43:F43"/>
    <x:mergeCell ref="G43:I43"/>
    <x:mergeCell ref="J43:L43"/>
    <x:mergeCell ref="C44:F44"/>
    <x:mergeCell ref="G44:I44"/>
    <x:mergeCell ref="J44:L44"/>
    <x:mergeCell ref="C45:F45"/>
    <x:mergeCell ref="G45:I45"/>
    <x:mergeCell ref="J45:L45"/>
    <x:mergeCell ref="C46:F46"/>
    <x:mergeCell ref="G46:I46"/>
    <x:mergeCell ref="J46:L46"/>
    <x:mergeCell ref="C47:F47"/>
    <x:mergeCell ref="G47:I47"/>
    <x:mergeCell ref="J47:L47"/>
    <x:mergeCell ref="C48:F48"/>
    <x:mergeCell ref="G48:I48"/>
    <x:mergeCell ref="J48:L48"/>
    <x:mergeCell ref="C49:F49"/>
    <x:mergeCell ref="G49:I49"/>
    <x:mergeCell ref="J49:L49"/>
    <x:mergeCell ref="C50:F50"/>
    <x:mergeCell ref="G50:I50"/>
    <x:mergeCell ref="J50:L50"/>
    <x:mergeCell ref="C51:F51"/>
    <x:mergeCell ref="G51:I51"/>
    <x:mergeCell ref="J51:L51"/>
    <x:mergeCell ref="C52:F52"/>
    <x:mergeCell ref="G52:I52"/>
    <x:mergeCell ref="J52:L52"/>
    <x:mergeCell ref="C53:F53"/>
    <x:mergeCell ref="G53:I53"/>
    <x:mergeCell ref="J53:L53"/>
  </x:mergeCells>
  <x:dataValidations count="1">
    <x:dataValidation type="whole" operator="greaterThanOrEqual" sqref="A24:A27">
      <x:formula1>16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55c07504f0d4961"/>
  </x:tableParts>
</x:worksheet>
</file>