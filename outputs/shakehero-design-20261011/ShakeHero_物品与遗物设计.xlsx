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73e8d864b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品" sheetId="1" r:id="R5a08465fd032416b"/>
    <x:sheet xmlns:r="http://schemas.openxmlformats.org/officeDocument/2006/relationships" name="遗物" sheetId="2" r:id="R153f5ee8d1b64075"/>
    <x:sheet xmlns:r="http://schemas.openxmlformats.org/officeDocument/2006/relationships" name="产物与进阶" sheetId="3" r:id="R74973cf29a3348de"/>
    <x:sheet xmlns:r="http://schemas.openxmlformats.org/officeDocument/2006/relationships" name="流派组合" sheetId="4" r:id="R02d326a5bd614669"/>
    <x:sheet xmlns:r="http://schemas.openxmlformats.org/officeDocument/2006/relationships" name="规则" sheetId="5" r:id="R5df5a5ba5ffb43b5"/>
    <x:sheet xmlns:r="http://schemas.openxmlformats.org/officeDocument/2006/relationships" name="原机制适配" sheetId="6" r:id="R38b6e45c38a24802"/>
    <x:sheet xmlns:r="http://schemas.openxmlformats.org/officeDocument/2006/relationships" name="结算算例" sheetId="7" r:id="Rb7f00cad56c6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6">
    <x:font>
      <x:sz val="11"/>
      <x:name val="Carlito"/>
    </x:font>
    <x:font>
      <x:sz val="10"/>
      <x:color rgb="FF20334D"/>
      <x:name val="Microsoft YaHei"/>
    </x:font>
    <x:font>
      <x:b/>
      <x:sz val="16"/>
      <x:color rgb="FF20334D"/>
      <x:name val="Microsoft YaHei"/>
    </x:font>
    <x:font>
      <x:sz val="10"/>
      <x:color rgb="FF52627A"/>
      <x:name val="Microsoft YaHei"/>
    </x:font>
    <x:font>
      <x:b/>
      <x:sz val="10"/>
      <x:color rgb="FFFFFFFF"/>
      <x:name val="Microsoft YaHei"/>
    </x:font>
    <x:font>
      <x:b/>
      <x:sz val="10"/>
      <x:color rgb="FF3B6B54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7DFE8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color rgb="FF194F87"/>
      </x:font>
      <x:fill>
        <x:patternFill patternType="solid">
          <x:bgColor rgb="FFDDEBFA"/>
        </x:patternFill>
      </x:fill>
    </x:dxf>
    <x:dxf>
      <x:font>
        <x:color rgb="FF68408D"/>
      </x:font>
      <x:fill>
        <x:patternFill patternType="solid">
          <x:bgColor rgb="FFEADFF4"/>
        </x:patternFill>
      </x:fill>
    </x:dxf>
    <x:dxf>
      <x:font>
        <x:color rgb="FF2A663D"/>
      </x:font>
      <x:fill>
        <x:patternFill patternType="solid">
          <x:bgColor rgb="FFE1EFE5"/>
        </x:patternFill>
      </x:fill>
    </x:dxf>
    <x:dxf>
      <x:font>
        <x:color rgb="FF194F87"/>
      </x:font>
      <x:fill>
        <x:patternFill patternType="solid">
          <x:bgColor rgb="FFDDEBFA"/>
        </x:patternFill>
      </x:fill>
    </x:dxf>
    <x:dxf>
      <x:font>
        <x:color rgb="FF68408D"/>
      </x:font>
      <x:fill>
        <x:patternFill patternType="solid">
          <x:bgColor rgb="FFEADFF4"/>
        </x:patternFill>
      </x:fill>
    </x:dxf>
    <x:dxf>
      <x:font>
        <x:color rgb="FF2A663D"/>
      </x:font>
      <x:fill>
        <x:patternFill patternType="solid">
          <x:bgColor rgb="FFE1EFE5"/>
        </x:patternFill>
      </x:fill>
    </x:dxf>
    <x:dxf>
      <x:font>
        <x:color rgb="FF194F87"/>
      </x:font>
      <x:fill>
        <x:patternFill patternType="solid">
          <x:bgColor rgb="FFDDEBFA"/>
        </x:patternFill>
      </x:fill>
    </x:dxf>
    <x:dxf>
      <x:font>
        <x:color rgb="FF68408D"/>
      </x:font>
      <x:fill>
        <x:patternFill patternType="solid">
          <x:bgColor rgb="FFEADFF4"/>
        </x:patternFill>
      </x:fill>
    </x:dxf>
    <x:dxf>
      <x:font>
        <x:color rgb="FF2A663D"/>
      </x:font>
      <x:fill>
        <x:patternFill patternType="solid">
          <x:bgColor rgb="FFE1EF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01c5eff59409e" /><Relationship Type="http://schemas.openxmlformats.org/officeDocument/2006/relationships/theme" Target="/xl/theme/theme1.xml" Id="R34acb9b15d1645ad" /><Relationship Type="http://schemas.openxmlformats.org/officeDocument/2006/relationships/sharedStrings" Target="/xl/sharedStrings.xml" Id="R84cebbde90e644f3" /><Relationship Type="http://schemas.openxmlformats.org/officeDocument/2006/relationships/worksheet" Target="/xl/worksheets/sheet1.xml" Id="R5a08465fd032416b" /><Relationship Type="http://schemas.openxmlformats.org/officeDocument/2006/relationships/worksheet" Target="/xl/worksheets/sheet2.xml" Id="R153f5ee8d1b64075" /><Relationship Type="http://schemas.openxmlformats.org/officeDocument/2006/relationships/worksheet" Target="/xl/worksheets/sheet3.xml" Id="R74973cf29a3348de" /><Relationship Type="http://schemas.openxmlformats.org/officeDocument/2006/relationships/worksheet" Target="/xl/worksheets/sheet4.xml" Id="R02d326a5bd614669" /><Relationship Type="http://schemas.openxmlformats.org/officeDocument/2006/relationships/worksheet" Target="/xl/worksheets/sheet5.xml" Id="R5df5a5ba5ffb43b5" /><Relationship Type="http://schemas.openxmlformats.org/officeDocument/2006/relationships/worksheet" Target="/xl/worksheets/sheet6.xml" Id="R38b6e45c38a24802" /><Relationship Type="http://schemas.openxmlformats.org/officeDocument/2006/relationships/worksheet" Target="/xl/worksheets/sheet7.xml" Id="Rb7f00cad56c64ddc" /></Relationships>
</file>

<file path=xl/tables/table1.xml><?xml version="1.0" encoding="utf-8"?>
<x:table xmlns:x="http://schemas.openxmlformats.org/spreadsheetml/2006/main" id="1" name="Items" displayName="Items" ref="A5:M125" headerRowCount="1" totalsRowCount="0" totalsRowShown="0">
  <x:tableColumns count="13">
    <x:tableColumn id="1" name="ID"/>
    <x:tableColumn id="2" name="名称"/>
    <x:tableColumn id="3" name="品质"/>
    <x:tableColumn id="4" name="基础分"/>
    <x:tableColumn id="5" name="触发时机"/>
    <x:tableColumn id="6" name="效果"/>
    <x:tableColumn id="7" name="次数与边界"/>
    <x:tableColumn id="8" name="主流派"/>
    <x:tableColumn id="9" name="标签"/>
    <x:tableColumn id="10" name="外观形状"/>
    <x:tableColumn id="11" name="标准形状"/>
    <x:tableColumn id="12" name="原表参考"/>
    <x:tableColumn id="13" name="测试批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ics" displayName="Relics" ref="A5:H85" headerRowCount="1" totalsRowCount="0" totalsRowShown="0">
  <x:tableColumns count="8">
    <x:tableColumn id="1" name="ID"/>
    <x:tableColumn id="2" name="名称"/>
    <x:tableColumn id="3" name="品质"/>
    <x:tableColumn id="4" name="触发时机"/>
    <x:tableColumn id="5" name="效果"/>
    <x:tableColumn id="6" name="次数与边界"/>
    <x:tableColumn id="7" name="主流派"/>
    <x:tableColumn id="8" name="原表参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" displayName="Products" ref="A5:L37" headerRowCount="1" totalsRowCount="0" totalsRowShown="0">
  <x:tableColumns count="12">
    <x:tableColumn id="1" name="ID"/>
    <x:tableColumn id="2" name="名称"/>
    <x:tableColumn id="3" name="品质"/>
    <x:tableColumn id="4" name="基础分"/>
    <x:tableColumn id="5" name="能力"/>
    <x:tableColumn id="6" name="来源"/>
    <x:tableColumn id="7" name="存续"/>
    <x:tableColumn id="8" name="主流派"/>
    <x:tableColumn id="9" name="标签"/>
    <x:tableColumn id="10" name="外观形状"/>
    <x:tableColumn id="11" name="标准形状"/>
    <x:tableColumn id="12" name="原表参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ilds" displayName="Builds" ref="A5:L17" headerRowCount="1" totalsRowCount="0" totalsRowShown="0">
  <x:tableColumns count="12">
    <x:tableColumn id="1" name="流派"/>
    <x:tableColumn id="2" name="得分方式"/>
    <x:tableColumn id="3" name="起步组件"/>
    <x:tableColumn id="4" name="中期组件"/>
    <x:tableColumn id="5" name="核心"/>
    <x:tableColumn id="6" name="推荐遗物"/>
    <x:tableColumn id="7" name="玩家如何安排接触"/>
    <x:tableColumn id="8" name="跨流派搭配"/>
    <x:tableColumn id="9" name="代价与冲突"/>
    <x:tableColumn id="10" name="16件样本比例"/>
    <x:tableColumn id="11" name="局部算例"/>
    <x:tableColumn id="12" name="首测候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s" displayName="Rules" ref="A5:C37" headerRowCount="1" totalsRowCount="0" totalsRowShown="0">
  <x:tableColumns count="3">
    <x:tableColumn id="1" name="状态"/>
    <x:tableColumn id="2" name="条目"/>
    <x:tableColumn id="3" name="内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ppings" displayName="Mappings" ref="A5:D20" headerRowCount="1" totalsRowCount="0" totalsRowShown="0">
  <x:tableColumns count="4">
    <x:tableColumn id="1" name="原表机制"/>
    <x:tableColumn id="2" name="本作设计"/>
    <x:tableColumn id="3" name="适配说明"/>
    <x:tableColumn id="4" name="参考条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oreExamples" displayName="ScoreExamples" ref="A5:G13" headerRowCount="1" totalsRowCount="0" totalsRowShown="0">
  <x:tableColumns count="7">
    <x:tableColumn id="1" name="算例"/>
    <x:tableColumn id="2" name="冻结值F"/>
    <x:tableColumn id="3" name="结算加分A"/>
    <x:tableColumn id="4" name="倍率增量M"/>
    <x:tableColumn id="5" name="事件记分E"/>
    <x:tableColumn id="6" name="计算结果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03858e6a9642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b4cb73105b48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b3ccafb6db44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b4126c5e1f49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a02912412b341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edbb57c053841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7242d13bb4f47b0" /></Relationships>
</file>

<file path=xl/worksheets/sheet1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9" hidden="0" customWidth="1"/>
    <x:col min="4" max="4" width="9" hidden="0" customWidth="1"/>
    <x:col min="5" max="5" width="16" hidden="0" customWidth="1"/>
    <x:col min="6" max="6" width="62" hidden="0" customWidth="1"/>
    <x:col min="7" max="7" width="35" hidden="0" customWidth="1"/>
    <x:col min="8" max="8" width="10" hidden="0" customWidth="1"/>
    <x:col min="9" max="9" width="28" hidden="0" customWidth="1"/>
    <x:col min="10" max="10" width="16" hidden="0" customWidth="1"/>
    <x:col min="11" max="11" width="13" hidden="0" customWidth="1"/>
    <x:col min="12" max="12" width="42" hidden="0" customWidth="1"/>
    <x:col min="13" max="13" width="1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瓶内物品设计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8" t="str">
        <x:v>120件可抽取物品；数值为首轮测试值。规则口径与原表来源见“规则”。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</x:row>
    <x:row r="5" ht="30" customHeight="1">
      <x:c r="A5" s="12" t="str">
        <x:v>ID</x:v>
      </x:c>
      <x:c r="B5" s="12" t="str">
        <x:v>名称</x:v>
      </x:c>
      <x:c r="C5" s="12" t="str">
        <x:v>品质</x:v>
      </x:c>
      <x:c r="D5" s="12" t="str">
        <x:v>基础分</x:v>
      </x:c>
      <x:c r="E5" s="12" t="str">
        <x:v>触发时机</x:v>
      </x:c>
      <x:c r="F5" s="12" t="str">
        <x:v>效果</x:v>
      </x:c>
      <x:c r="G5" s="12" t="str">
        <x:v>次数与边界</x:v>
      </x:c>
      <x:c r="H5" s="12" t="str">
        <x:v>主流派</x:v>
      </x:c>
      <x:c r="I5" s="12" t="str">
        <x:v>标签</x:v>
      </x:c>
      <x:c r="J5" s="12" t="str">
        <x:v>外观形状</x:v>
      </x:c>
      <x:c r="K5" s="12" t="str">
        <x:v>标准形状</x:v>
      </x:c>
      <x:c r="L5" s="12" t="str">
        <x:v>原表参考</x:v>
      </x:c>
      <x:c r="M5" s="12" t="str">
        <x:v>测试批次</x:v>
      </x:c>
    </x:row>
    <x:row r="6" ht="30" customHeight="1">
      <x:c r="A6" s="13" t="str">
        <x:v>I001</x:v>
      </x:c>
      <x:c r="B6" s="13" t="str">
        <x:v>面包</x:v>
      </x:c>
      <x:c r="C6" s="13" t="str">
        <x:v>普通</x:v>
      </x:c>
      <x:c r="D6" s="14" t="n">
        <x:v>2</x:v>
      </x:c>
      <x:c r="E6" s="13" t="str">
        <x:v>被消耗</x:v>
      </x:c>
      <x:c r="F6" s="13" t="str">
        <x:v>被烹饪物品消耗时，额外记分3。</x:v>
      </x:c>
      <x:c r="G6" s="13" t="str">
        <x:v>自身1次</x:v>
      </x:c>
      <x:c r="H6" s="13" t="str">
        <x:v>烹饪</x:v>
      </x:c>
      <x:c r="I6" s="13" t="str">
        <x:v>食物、食材</x:v>
      </x:c>
      <x:c r="J6" s="13" t="str">
        <x:v>圆角长方形</x:v>
      </x:c>
      <x:c r="K6" s="13" t="str">
        <x:v>长条形</x:v>
      </x:c>
      <x:c r="L6" s="13" t="str">
        <x:v>Bread（触发器!D6）</x:v>
      </x:c>
      <x:c r="M6" s="13" t="str">
        <x:v>首测候选</x:v>
      </x:c>
    </x:row>
    <x:row r="7" ht="30" customHeight="1">
      <x:c r="A7" s="3" t="str">
        <x:v>I002</x:v>
      </x:c>
      <x:c r="B7" s="3" t="str">
        <x:v>番茄</x:v>
      </x:c>
      <x:c r="C7" s="3" t="str">
        <x:v>普通</x:v>
      </x:c>
      <x:c r="D7" s="15" t="n">
        <x:v>2</x:v>
      </x:c>
      <x:c r="E7" s="3" t="str">
        <x:v>结算加分</x:v>
      </x:c>
      <x:c r="F7" s="3" t="str">
        <x:v>每接触着1个其他番茄，自身+3。</x:v>
      </x:c>
      <x:c r="G7" s="3" t="str">
        <x:v>最多计3个</x:v>
      </x:c>
      <x:c r="H7" s="3" t="str">
        <x:v>烹饪</x:v>
      </x:c>
      <x:c r="I7" s="3" t="str">
        <x:v>食物、食材、植物</x:v>
      </x:c>
      <x:c r="J7" s="3" t="str">
        <x:v>圆形</x:v>
      </x:c>
      <x:c r="K7" s="3" t="str">
        <x:v>圆形</x:v>
      </x:c>
      <x:c r="L7" s="3" t="str">
        <x:v>Tomato（触发器!D27）</x:v>
      </x:c>
      <x:c r="M7" s="3" t="str">
        <x:v>扩展</x:v>
      </x:c>
    </x:row>
    <x:row r="8" ht="30" customHeight="1">
      <x:c r="A8" s="13" t="str">
        <x:v>I003</x:v>
      </x:c>
      <x:c r="B8" s="13" t="str">
        <x:v>奶酪</x:v>
      </x:c>
      <x:c r="C8" s="13" t="str">
        <x:v>优秀</x:v>
      </x:c>
      <x:c r="D8" s="14" t="n">
        <x:v>3</x:v>
      </x:c>
      <x:c r="E8" s="13" t="str">
        <x:v>结算末</x:v>
      </x:c>
      <x:c r="F8" s="13" t="str">
        <x:v>若存活且本回合被烹饪物品增值过，自身永久基础分+1。</x:v>
      </x:c>
      <x:c r="G8" s="13" t="str">
        <x:v>每回合1次；永久累计+8封顶</x:v>
      </x:c>
      <x:c r="H8" s="13" t="str">
        <x:v>烹饪</x:v>
      </x:c>
      <x:c r="I8" s="13" t="str">
        <x:v>食物、食材、成长</x:v>
      </x:c>
      <x:c r="J8" s="13" t="str">
        <x:v>三角形</x:v>
      </x:c>
      <x:c r="K8" s="13" t="str">
        <x:v>三角形</x:v>
      </x:c>
      <x:c r="L8" s="13" t="str">
        <x:v>Cheese（触发器!D38）</x:v>
      </x:c>
      <x:c r="M8" s="13" t="str">
        <x:v>首测候选</x:v>
      </x:c>
    </x:row>
    <x:row r="9" ht="30" customHeight="1">
      <x:c r="A9" s="3" t="str">
        <x:v>I004</x:v>
      </x:c>
      <x:c r="B9" s="3" t="str">
        <x:v>平底锅</x:v>
      </x:c>
      <x:c r="C9" s="3" t="str">
        <x:v>优秀</x:v>
      </x:c>
      <x:c r="D9" s="15" t="n">
        <x:v>2</x:v>
      </x:c>
      <x:c r="E9" s="3" t="str">
        <x:v>接触</x:v>
      </x:c>
      <x:c r="F9" s="3" t="str">
        <x:v>依次收存2种不同名称的食材，消耗两份储存，生成1份热餐。</x:v>
      </x:c>
      <x:c r="G9" s="3" t="str">
        <x:v>每回合2份热餐；储存容量2</x:v>
      </x:c>
      <x:c r="H9" s="3" t="str">
        <x:v>烹饪</x:v>
      </x:c>
      <x:c r="I9" s="3" t="str">
        <x:v>烹饪、工具、生产者</x:v>
      </x:c>
      <x:c r="J9" s="3" t="str">
        <x:v>浅碟形</x:v>
      </x:c>
      <x:c r="K9" s="3" t="str">
        <x:v>凹槽形</x:v>
      </x:c>
      <x:c r="L9" s="3" t="str">
        <x:v>Chef's Pan（触发器!D39）</x:v>
      </x:c>
      <x:c r="M9" s="3" t="str">
        <x:v>首测候选</x:v>
      </x:c>
    </x:row>
    <x:row r="10" ht="30" customHeight="1">
      <x:c r="A10" s="13" t="str">
        <x:v>I005</x:v>
      </x:c>
      <x:c r="B10" s="13" t="str">
        <x:v>盐罐</x:v>
      </x:c>
      <x:c r="C10" s="13" t="str">
        <x:v>普通</x:v>
      </x:c>
      <x:c r="D10" s="14" t="n">
        <x:v>1</x:v>
      </x:c>
      <x:c r="E10" s="13" t="str">
        <x:v>接触</x:v>
      </x:c>
      <x:c r="F10" s="13" t="str">
        <x:v>使接触的食物+2。</x:v>
      </x:c>
      <x:c r="G10" s="13" t="str">
        <x:v>每个目标1次；最多4个目标</x:v>
      </x:c>
      <x:c r="H10" s="13" t="str">
        <x:v>烹饪</x:v>
      </x:c>
      <x:c r="I10" s="13" t="str">
        <x:v>烹饪、调味</x:v>
      </x:c>
      <x:c r="J10" s="13" t="str">
        <x:v>胶囊形</x:v>
      </x:c>
      <x:c r="K10" s="13" t="str">
        <x:v>长条形</x:v>
      </x:c>
      <x:c r="L10" s="13" t="str">
        <x:v>Toque（增益!D27）</x:v>
      </x:c>
      <x:c r="M10" s="13" t="str">
        <x:v>首测候选</x:v>
      </x:c>
    </x:row>
    <x:row r="11" ht="30" customHeight="1">
      <x:c r="A11" s="3" t="str">
        <x:v>I006</x:v>
      </x:c>
      <x:c r="B11" s="3" t="str">
        <x:v>餐盘</x:v>
      </x:c>
      <x:c r="C11" s="3" t="str">
        <x:v>优秀</x:v>
      </x:c>
      <x:c r="D11" s="15" t="n">
        <x:v>2</x:v>
      </x:c>
      <x:c r="E11" s="3" t="str">
        <x:v>结算倍率</x:v>
      </x:c>
      <x:c r="F11" s="3" t="str">
        <x:v>自己接触着至少2种不同名称的食物时，这些食物各获得+50%结算倍率。</x:v>
      </x:c>
      <x:c r="G11" s="3" t="str">
        <x:v>最多影响4件</x:v>
      </x:c>
      <x:c r="H11" s="3" t="str">
        <x:v>烹饪</x:v>
      </x:c>
      <x:c r="I11" s="3" t="str">
        <x:v>烹饪、容器</x:v>
      </x:c>
      <x:c r="J11" s="3" t="str">
        <x:v>扁椭圆</x:v>
      </x:c>
      <x:c r="K11" s="3" t="str">
        <x:v>不规则形</x:v>
      </x:c>
      <x:c r="L11" s="3" t="str">
        <x:v>Plate（触发器!D89）</x:v>
      </x:c>
      <x:c r="M11" s="3" t="str">
        <x:v>扩展</x:v>
      </x:c>
    </x:row>
    <x:row r="12" ht="38" customHeight="1">
      <x:c r="A12" s="13" t="str">
        <x:v>I007</x:v>
      </x:c>
      <x:c r="B12" s="13" t="str">
        <x:v>饕餮嘴</x:v>
      </x:c>
      <x:c r="C12" s="13" t="str">
        <x:v>稀有</x:v>
      </x:c>
      <x:c r="D12" s="14" t="n">
        <x:v>1</x:v>
      </x:c>
      <x:c r="E12" s="13" t="str">
        <x:v>接触</x:v>
      </x:c>
      <x:c r="F12" s="13" t="str">
        <x:v>消耗1件食物，记分等于其当前值+4；每多吃过一种不同名称的食物，本次再记分2。</x:v>
      </x:c>
      <x:c r="G12" s="13" t="str">
        <x:v>最多吃4件；不同名称最多计4种</x:v>
      </x:c>
      <x:c r="H12" s="13" t="str">
        <x:v>烹饪</x:v>
      </x:c>
      <x:c r="I12" s="13" t="str">
        <x:v>烹饪、消费者</x:v>
      </x:c>
      <x:c r="J12" s="13" t="str">
        <x:v>月牙形</x:v>
      </x:c>
      <x:c r="K12" s="13" t="str">
        <x:v>弧形</x:v>
      </x:c>
      <x:c r="L12" s="13" t="str">
        <x:v>Hungry Mouth（触发器!D45）</x:v>
      </x:c>
      <x:c r="M12" s="13" t="str">
        <x:v>首测候选</x:v>
      </x:c>
    </x:row>
    <x:row r="13" ht="30" customHeight="1">
      <x:c r="A13" s="3" t="str">
        <x:v>I008</x:v>
      </x:c>
      <x:c r="B13" s="3" t="str">
        <x:v>料理盒</x:v>
      </x:c>
      <x:c r="C13" s="3" t="str">
        <x:v>优秀</x:v>
      </x:c>
      <x:c r="D13" s="15" t="n">
        <x:v>2</x:v>
      </x:c>
      <x:c r="E13" s="3" t="str">
        <x:v>接触及结算加分</x:v>
      </x:c>
      <x:c r="F13" s="3" t="str">
        <x:v>收存最多3件食物。结算时自身增加所有存入值之和；存入3种不同食物再+6。</x:v>
      </x:c>
      <x:c r="G13" s="3" t="str">
        <x:v>每回合收存3件</x:v>
      </x:c>
      <x:c r="H13" s="3" t="str">
        <x:v>烹饪</x:v>
      </x:c>
      <x:c r="I13" s="3" t="str">
        <x:v>烹饪、容器</x:v>
      </x:c>
      <x:c r="J13" s="3" t="str">
        <x:v>方形</x:v>
      </x:c>
      <x:c r="K13" s="3" t="str">
        <x:v>方形</x:v>
      </x:c>
      <x:c r="L13" s="3" t="str">
        <x:v>Ballmart（触发器!D3）</x:v>
      </x:c>
      <x:c r="M13" s="3" t="str">
        <x:v>扩展</x:v>
      </x:c>
    </x:row>
    <x:row r="14" ht="30" customHeight="1">
      <x:c r="A14" s="13" t="str">
        <x:v>I009</x:v>
      </x:c>
      <x:c r="B14" s="13" t="str">
        <x:v>烤面包架</x:v>
      </x:c>
      <x:c r="C14" s="13" t="str">
        <x:v>稀有</x:v>
      </x:c>
      <x:c r="D14" s="14" t="n">
        <x:v>2</x:v>
      </x:c>
      <x:c r="E14" s="13" t="str">
        <x:v>接触</x:v>
      </x:c>
      <x:c r="F14" s="13" t="str">
        <x:v>接触火元素后点亮；点亮后消耗接触的面包，生成1片烤吐司。</x:v>
      </x:c>
      <x:c r="G14" s="13" t="str">
        <x:v>每回合2片；点亮不消耗火元素</x:v>
      </x:c>
      <x:c r="H14" s="13" t="str">
        <x:v>烹饪</x:v>
      </x:c>
      <x:c r="I14" s="13" t="str">
        <x:v>烹饪、工具、生产者</x:v>
      </x:c>
      <x:c r="J14" s="13" t="str">
        <x:v>凹字形</x:v>
      </x:c>
      <x:c r="K14" s="13" t="str">
        <x:v>凹槽形</x:v>
      </x:c>
      <x:c r="L14" s="13" t="str">
        <x:v>Campfire（触发器!D10）；Bread（触发器!D6）</x:v>
      </x:c>
      <x:c r="M14" s="13" t="str">
        <x:v>扩展</x:v>
      </x:c>
    </x:row>
    <x:row r="15" ht="38" customHeight="1">
      <x:c r="A15" s="3" t="str">
        <x:v>I010</x:v>
      </x:c>
      <x:c r="B15" s="3" t="str">
        <x:v>宴会钟</x:v>
      </x:c>
      <x:c r="C15" s="3" t="str">
        <x:v>史诗</x:v>
      </x:c>
      <x:c r="D15" s="15" t="n">
        <x:v>3</x:v>
      </x:c>
      <x:c r="E15" s="3" t="str">
        <x:v>结算倍率</x:v>
      </x:c>
      <x:c r="F15" s="3" t="str">
        <x:v>本回合生成过至少3种不同名称的食物时，场上所有食物获得+50%结算倍率。</x:v>
      </x:c>
      <x:c r="G15" s="3" t="str">
        <x:v>每回合1次</x:v>
      </x:c>
      <x:c r="H15" s="3" t="str">
        <x:v>烹饪</x:v>
      </x:c>
      <x:c r="I15" s="3" t="str">
        <x:v>烹饪、结算核心、生产者</x:v>
      </x:c>
      <x:c r="J15" s="3" t="str">
        <x:v>钟形</x:v>
      </x:c>
      <x:c r="K15" s="3" t="str">
        <x:v>不规则形</x:v>
      </x:c>
      <x:c r="L15" s="3" t="str">
        <x:v>Plate（触发器!D89）；Cash Register（触发器!D36）</x:v>
      </x:c>
      <x:c r="M15" s="3" t="str">
        <x:v>扩展</x:v>
      </x:c>
    </x:row>
    <x:row r="16" ht="30" customHeight="1">
      <x:c r="A16" s="13" t="str">
        <x:v>I011</x:v>
      </x:c>
      <x:c r="B16" s="13" t="str">
        <x:v>雨云</x:v>
      </x:c>
      <x:c r="C16" s="13" t="str">
        <x:v>普通</x:v>
      </x:c>
      <x:c r="D16" s="14" t="n">
        <x:v>1</x:v>
      </x:c>
      <x:c r="E16" s="13" t="str">
        <x:v>接触</x:v>
      </x:c>
      <x:c r="F16" s="13" t="str">
        <x:v>接触植物时，在自己附近生成1颗水珠。</x:v>
      </x:c>
      <x:c r="G16" s="13" t="str">
        <x:v>每个目标1次；每回合最多3颗</x:v>
      </x:c>
      <x:c r="H16" s="13" t="str">
        <x:v>种植</x:v>
      </x:c>
      <x:c r="I16" s="13" t="str">
        <x:v>植物辅助、生产者</x:v>
      </x:c>
      <x:c r="J16" s="13" t="str">
        <x:v>云朵形</x:v>
      </x:c>
      <x:c r="K16" s="13" t="str">
        <x:v>不规则形</x:v>
      </x:c>
      <x:c r="L16" s="13" t="str">
        <x:v>Stormy Weather（触发器!D96）</x:v>
      </x:c>
      <x:c r="M16" s="13" t="str">
        <x:v>首测候选</x:v>
      </x:c>
    </x:row>
    <x:row r="17" ht="38" customHeight="1">
      <x:c r="A17" s="3" t="str">
        <x:v>I012</x:v>
      </x:c>
      <x:c r="B17" s="3" t="str">
        <x:v>幼苗</x:v>
      </x:c>
      <x:c r="C17" s="3" t="str">
        <x:v>普通</x:v>
      </x:c>
      <x:c r="D17" s="15" t="n">
        <x:v>1</x:v>
      </x:c>
      <x:c r="E17" s="3" t="str">
        <x:v>接触</x:v>
      </x:c>
      <x:c r="F17" s="3" t="str">
        <x:v>首次接触水元素时消耗自身，生成1株嫩芽；若此前接触过其他植物，嫩芽基础分改为6。</x:v>
      </x:c>
      <x:c r="G17" s="3" t="str">
        <x:v>自身1次；不消耗水元素</x:v>
      </x:c>
      <x:c r="H17" s="3" t="str">
        <x:v>种植</x:v>
      </x:c>
      <x:c r="I17" s="3" t="str">
        <x:v>植物、成长、生产者</x:v>
      </x:c>
      <x:c r="J17" s="3" t="str">
        <x:v>小三角形</x:v>
      </x:c>
      <x:c r="K17" s="3" t="str">
        <x:v>三角形</x:v>
      </x:c>
      <x:c r="L17" s="3" t="str">
        <x:v>Seedling（触发器!D24）</x:v>
      </x:c>
      <x:c r="M17" s="3" t="str">
        <x:v>首测候选</x:v>
      </x:c>
    </x:row>
    <x:row r="18" ht="30" customHeight="1">
      <x:c r="A18" s="13" t="str">
        <x:v>I013</x:v>
      </x:c>
      <x:c r="B18" s="13" t="str">
        <x:v>南瓜</x:v>
      </x:c>
      <x:c r="C18" s="13" t="str">
        <x:v>优秀</x:v>
      </x:c>
      <x:c r="D18" s="14" t="n">
        <x:v>3</x:v>
      </x:c>
      <x:c r="E18" s="13" t="str">
        <x:v>接触</x:v>
      </x:c>
      <x:c r="F18" s="13" t="str">
        <x:v>每消耗1颗水珠，自身+3。</x:v>
      </x:c>
      <x:c r="G18" s="13" t="str">
        <x:v>最多消耗3颗</x:v>
      </x:c>
      <x:c r="H18" s="13" t="str">
        <x:v>种植</x:v>
      </x:c>
      <x:c r="I18" s="13" t="str">
        <x:v>植物、食物</x:v>
      </x:c>
      <x:c r="J18" s="13" t="str">
        <x:v>宽椭圆</x:v>
      </x:c>
      <x:c r="K18" s="13" t="str">
        <x:v>不规则形</x:v>
      </x:c>
      <x:c r="L18" s="13" t="str">
        <x:v>Pumpkin（触发器!D22）</x:v>
      </x:c>
      <x:c r="M18" s="13" t="str">
        <x:v>首测候选</x:v>
      </x:c>
    </x:row>
    <x:row r="19" ht="30" customHeight="1">
      <x:c r="A19" s="3" t="str">
        <x:v>I014</x:v>
      </x:c>
      <x:c r="B19" s="3" t="str">
        <x:v>葡萄藤</x:v>
      </x:c>
      <x:c r="C19" s="3" t="str">
        <x:v>优秀</x:v>
      </x:c>
      <x:c r="D19" s="15" t="n">
        <x:v>2</x:v>
      </x:c>
      <x:c r="E19" s="3" t="str">
        <x:v>接触</x:v>
      </x:c>
      <x:c r="F19" s="3" t="str">
        <x:v>每接触1个不同植物，自身+1，并生成1颗葡萄。</x:v>
      </x:c>
      <x:c r="G19" s="3" t="str">
        <x:v>最多3个植物；每个目标1次</x:v>
      </x:c>
      <x:c r="H19" s="3" t="str">
        <x:v>种植</x:v>
      </x:c>
      <x:c r="I19" s="3" t="str">
        <x:v>植物、生产者</x:v>
      </x:c>
      <x:c r="J19" s="3" t="str">
        <x:v>长条形</x:v>
      </x:c>
      <x:c r="K19" s="3" t="str">
        <x:v>长条形</x:v>
      </x:c>
      <x:c r="L19" s="3" t="str">
        <x:v>Grape Vine（触发器!D44）</x:v>
      </x:c>
      <x:c r="M19" s="3" t="str">
        <x:v>首测候选</x:v>
      </x:c>
    </x:row>
    <x:row r="20" ht="30" customHeight="1">
      <x:c r="A20" s="13" t="str">
        <x:v>I015</x:v>
      </x:c>
      <x:c r="B20" s="13" t="str">
        <x:v>果树</x:v>
      </x:c>
      <x:c r="C20" s="13" t="str">
        <x:v>稀有</x:v>
      </x:c>
      <x:c r="D20" s="14" t="n">
        <x:v>3</x:v>
      </x:c>
      <x:c r="E20" s="13" t="str">
        <x:v>接触及结算末</x:v>
      </x:c>
      <x:c r="F20" s="13" t="str">
        <x:v>首次接触水元素时生成1颗苹果。若本回合苹果曾被消耗，自身永久基础分+1。</x:v>
      </x:c>
      <x:c r="G20" s="13" t="str">
        <x:v>生成1次；永久累计+10封顶</x:v>
      </x:c>
      <x:c r="H20" s="13" t="str">
        <x:v>种植</x:v>
      </x:c>
      <x:c r="I20" s="13" t="str">
        <x:v>植物、成长、生产者</x:v>
      </x:c>
      <x:c r="J20" s="13" t="str">
        <x:v>树冠形</x:v>
      </x:c>
      <x:c r="K20" s="13" t="str">
        <x:v>不规则形</x:v>
      </x:c>
      <x:c r="L20" s="13" t="str">
        <x:v>Tree（触发器!D28）；Harvester（触发器!D114）</x:v>
      </x:c>
      <x:c r="M20" s="13" t="str">
        <x:v>扩展</x:v>
      </x:c>
    </x:row>
    <x:row r="21" ht="30" customHeight="1">
      <x:c r="A21" s="3" t="str">
        <x:v>I016</x:v>
      </x:c>
      <x:c r="B21" s="3" t="str">
        <x:v>三叶草</x:v>
      </x:c>
      <x:c r="C21" s="3" t="str">
        <x:v>普通</x:v>
      </x:c>
      <x:c r="D21" s="15" t="n">
        <x:v>2</x:v>
      </x:c>
      <x:c r="E21" s="3" t="str">
        <x:v>结算加分</x:v>
      </x:c>
      <x:c r="F21" s="3" t="str">
        <x:v>所在接触连通组有至少3个三叶草时，自身+6。</x:v>
      </x:c>
      <x:c r="G21" s="3" t="str">
        <x:v>每件1次</x:v>
      </x:c>
      <x:c r="H21" s="3" t="str">
        <x:v>种植</x:v>
      </x:c>
      <x:c r="I21" s="3" t="str">
        <x:v>植物、成簇</x:v>
      </x:c>
      <x:c r="J21" s="3" t="str">
        <x:v>三瓣形</x:v>
      </x:c>
      <x:c r="K21" s="3" t="str">
        <x:v>不规则形</x:v>
      </x:c>
      <x:c r="L21" s="3" t="str">
        <x:v>Clover（触发器!D40）</x:v>
      </x:c>
      <x:c r="M21" s="3" t="str">
        <x:v>扩展</x:v>
      </x:c>
    </x:row>
    <x:row r="22" ht="38" customHeight="1">
      <x:c r="A22" s="13" t="str">
        <x:v>I017</x:v>
      </x:c>
      <x:c r="B22" s="13" t="str">
        <x:v>浇水壶</x:v>
      </x:c>
      <x:c r="C22" s="13" t="str">
        <x:v>优秀</x:v>
      </x:c>
      <x:c r="D22" s="14" t="n">
        <x:v>2</x:v>
      </x:c>
      <x:c r="E22" s="13" t="str">
        <x:v>接触</x:v>
      </x:c>
      <x:c r="F22" s="13" t="str">
        <x:v>接触水元素后获得2份灌溉标记；接触植物时花1份，使其+3。</x:v>
      </x:c>
      <x:c r="G22" s="13" t="str">
        <x:v>水元素每目标1次；标记上限4；最多灌溉4次</x:v>
      </x:c>
      <x:c r="H22" s="13" t="str">
        <x:v>种植</x:v>
      </x:c>
      <x:c r="I22" s="13" t="str">
        <x:v>植物辅助、容器</x:v>
      </x:c>
      <x:c r="J22" s="13" t="str">
        <x:v>圆壶形</x:v>
      </x:c>
      <x:c r="K22" s="13" t="str">
        <x:v>不规则形</x:v>
      </x:c>
      <x:c r="L22" s="13" t="str">
        <x:v>Well（触发器!D64）；Pumpkin（触发器!D22）</x:v>
      </x:c>
      <x:c r="M22" s="13" t="str">
        <x:v>扩展</x:v>
      </x:c>
    </x:row>
    <x:row r="23" ht="38" customHeight="1">
      <x:c r="A23" s="3" t="str">
        <x:v>I018</x:v>
      </x:c>
      <x:c r="B23" s="3" t="str">
        <x:v>蜜蜂</x:v>
      </x:c>
      <x:c r="C23" s="3" t="str">
        <x:v>普通</x:v>
      </x:c>
      <x:c r="D23" s="15" t="n">
        <x:v>2</x:v>
      </x:c>
      <x:c r="E23" s="3" t="str">
        <x:v>接触</x:v>
      </x:c>
      <x:c r="F23" s="3" t="str">
        <x:v>接触植物时，自己和该植物各+1；访问过3个不同植物后生成1滴蜂蜜。</x:v>
      </x:c>
      <x:c r="G23" s="3" t="str">
        <x:v>最多访问4个；蜂蜜1滴</x:v>
      </x:c>
      <x:c r="H23" s="3" t="str">
        <x:v>种植</x:v>
      </x:c>
      <x:c r="I23" s="3" t="str">
        <x:v>动物、植物辅助、生产者</x:v>
      </x:c>
      <x:c r="J23" s="3" t="str">
        <x:v>胶囊形</x:v>
      </x:c>
      <x:c r="K23" s="3" t="str">
        <x:v>长条形</x:v>
      </x:c>
      <x:c r="L23" s="3" t="str">
        <x:v>Butterfly（触发器!D105）；Grape Vine（触发器!D44）</x:v>
      </x:c>
      <x:c r="M23" s="3" t="str">
        <x:v>扩展</x:v>
      </x:c>
    </x:row>
    <x:row r="24" ht="30" customHeight="1">
      <x:c r="A24" s="13" t="str">
        <x:v>I019</x:v>
      </x:c>
      <x:c r="B24" s="13" t="str">
        <x:v>温室罩</x:v>
      </x:c>
      <x:c r="C24" s="13" t="str">
        <x:v>稀有</x:v>
      </x:c>
      <x:c r="D24" s="14" t="n">
        <x:v>2</x:v>
      </x:c>
      <x:c r="E24" s="13" t="str">
        <x:v>接触及结算倍率</x:v>
      </x:c>
      <x:c r="F24" s="13" t="str">
        <x:v>初始2充能；接触植物时花1充能，使其获得+50%结算倍率。</x:v>
      </x:c>
      <x:c r="G24" s="13" t="str">
        <x:v>每个目标1次；最多4次</x:v>
      </x:c>
      <x:c r="H24" s="13" t="str">
        <x:v>种植</x:v>
      </x:c>
      <x:c r="I24" s="13" t="str">
        <x:v>植物辅助、充能</x:v>
      </x:c>
      <x:c r="J24" s="13" t="str">
        <x:v>拱形</x:v>
      </x:c>
      <x:c r="K24" s="13" t="str">
        <x:v>弧形</x:v>
      </x:c>
      <x:c r="L24" s="13" t="str">
        <x:v>Greenhouse（触发器!D80）</x:v>
      </x:c>
      <x:c r="M24" s="13" t="str">
        <x:v>扩展</x:v>
      </x:c>
    </x:row>
    <x:row r="25" ht="38" customHeight="1">
      <x:c r="A25" s="3" t="str">
        <x:v>I020</x:v>
      </x:c>
      <x:c r="B25" s="3" t="str">
        <x:v>花盆</x:v>
      </x:c>
      <x:c r="C25" s="3" t="str">
        <x:v>普通</x:v>
      </x:c>
      <x:c r="D25" s="15" t="n">
        <x:v>2</x:v>
      </x:c>
      <x:c r="E25" s="3" t="str">
        <x:v>结算加分</x:v>
      </x:c>
      <x:c r="F25" s="3" t="str">
        <x:v>恰好接触1件植物时，该植物+6；接触2件以上时这些植物各+2。</x:v>
      </x:c>
      <x:c r="G25" s="3" t="str">
        <x:v>最多影响3件</x:v>
      </x:c>
      <x:c r="H25" s="3" t="str">
        <x:v>种植</x:v>
      </x:c>
      <x:c r="I25" s="3" t="str">
        <x:v>植物辅助、容器</x:v>
      </x:c>
      <x:c r="J25" s="3" t="str">
        <x:v>梯形</x:v>
      </x:c>
      <x:c r="K25" s="3" t="str">
        <x:v>不规则形</x:v>
      </x:c>
      <x:c r="L25" s="3" t="str">
        <x:v>House Plant（触发器!D82）；Hammock（触发器!D15）</x:v>
      </x:c>
      <x:c r="M25" s="3" t="str">
        <x:v>首测候选</x:v>
      </x:c>
    </x:row>
    <x:row r="26" ht="30" customHeight="1">
      <x:c r="A26" s="13" t="str">
        <x:v>I021</x:v>
      </x:c>
      <x:c r="B26" s="13" t="str">
        <x:v>鸟巢</x:v>
      </x:c>
      <x:c r="C26" s="13" t="str">
        <x:v>普通</x:v>
      </x:c>
      <x:c r="D26" s="14" t="n">
        <x:v>1</x:v>
      </x:c>
      <x:c r="E26" s="13" t="str">
        <x:v>接触</x:v>
      </x:c>
      <x:c r="F26" s="13" t="str">
        <x:v>接触动物时生成1颗蛋。</x:v>
      </x:c>
      <x:c r="G26" s="13" t="str">
        <x:v>每个目标1次；每回合最多2颗</x:v>
      </x:c>
      <x:c r="H26" s="13" t="str">
        <x:v>牧场</x:v>
      </x:c>
      <x:c r="I26" s="13" t="str">
        <x:v>牧场、生产者</x:v>
      </x:c>
      <x:c r="J26" s="13" t="str">
        <x:v>浅碗形</x:v>
      </x:c>
      <x:c r="K26" s="13" t="str">
        <x:v>凹槽形</x:v>
      </x:c>
      <x:c r="L26" s="13" t="str">
        <x:v>Nest（触发器!D20）</x:v>
      </x:c>
      <x:c r="M26" s="13" t="str">
        <x:v>首测候选</x:v>
      </x:c>
    </x:row>
    <x:row r="27" ht="30" customHeight="1">
      <x:c r="A27" s="3" t="str">
        <x:v>I022</x:v>
      </x:c>
      <x:c r="B27" s="3" t="str">
        <x:v>母鸡</x:v>
      </x:c>
      <x:c r="C27" s="3" t="str">
        <x:v>优秀</x:v>
      </x:c>
      <x:c r="D27" s="15" t="n">
        <x:v>2</x:v>
      </x:c>
      <x:c r="E27" s="3" t="str">
        <x:v>接触</x:v>
      </x:c>
      <x:c r="F27" s="3" t="str">
        <x:v>消耗1件谷物，生成2颗蛋。</x:v>
      </x:c>
      <x:c r="G27" s="3" t="str">
        <x:v>最多吃2件谷物</x:v>
      </x:c>
      <x:c r="H27" s="3" t="str">
        <x:v>牧场</x:v>
      </x:c>
      <x:c r="I27" s="3" t="str">
        <x:v>动物、生产者</x:v>
      </x:c>
      <x:c r="J27" s="3" t="str">
        <x:v>水滴形</x:v>
      </x:c>
      <x:c r="K27" s="3" t="str">
        <x:v>不规则形</x:v>
      </x:c>
      <x:c r="L27" s="3" t="str">
        <x:v>Chicken（触发器!D71）</x:v>
      </x:c>
      <x:c r="M27" s="3" t="str">
        <x:v>首测候选</x:v>
      </x:c>
    </x:row>
    <x:row r="28" ht="30" customHeight="1">
      <x:c r="A28" s="13" t="str">
        <x:v>I023</x:v>
      </x:c>
      <x:c r="B28" s="13" t="str">
        <x:v>谷穗</x:v>
      </x:c>
      <x:c r="C28" s="13" t="str">
        <x:v>普通</x:v>
      </x:c>
      <x:c r="D28" s="14" t="n">
        <x:v>1</x:v>
      </x:c>
      <x:c r="E28" s="13" t="str">
        <x:v>被消耗</x:v>
      </x:c>
      <x:c r="F28" s="13" t="str">
        <x:v>被动物消耗时，消费者+3。</x:v>
      </x:c>
      <x:c r="G28" s="13" t="str">
        <x:v>自身1次</x:v>
      </x:c>
      <x:c r="H28" s="13" t="str">
        <x:v>牧场</x:v>
      </x:c>
      <x:c r="I28" s="13" t="str">
        <x:v>植物、谷物、食材</x:v>
      </x:c>
      <x:c r="J28" s="13" t="str">
        <x:v>细长形</x:v>
      </x:c>
      <x:c r="K28" s="13" t="str">
        <x:v>长条形</x:v>
      </x:c>
      <x:c r="L28" s="13" t="str">
        <x:v>Toque（增益!D27）；Harvester（触发器!D114）</x:v>
      </x:c>
      <x:c r="M28" s="13" t="str">
        <x:v>首测候选</x:v>
      </x:c>
    </x:row>
    <x:row r="29" ht="30" customHeight="1">
      <x:c r="A29" s="3" t="str">
        <x:v>I024</x:v>
      </x:c>
      <x:c r="B29" s="3" t="str">
        <x:v>奶牛</x:v>
      </x:c>
      <x:c r="C29" s="3" t="str">
        <x:v>优秀</x:v>
      </x:c>
      <x:c r="D29" s="15" t="n">
        <x:v>3</x:v>
      </x:c>
      <x:c r="E29" s="3" t="str">
        <x:v>接触</x:v>
      </x:c>
      <x:c r="F29" s="3" t="str">
        <x:v>消耗1件谷物，生成1瓶牛奶。</x:v>
      </x:c>
      <x:c r="G29" s="3" t="str">
        <x:v>每回合最多2瓶</x:v>
      </x:c>
      <x:c r="H29" s="3" t="str">
        <x:v>牧场</x:v>
      </x:c>
      <x:c r="I29" s="3" t="str">
        <x:v>动物、生产者</x:v>
      </x:c>
      <x:c r="J29" s="3" t="str">
        <x:v>长方形</x:v>
      </x:c>
      <x:c r="K29" s="3" t="str">
        <x:v>长条形</x:v>
      </x:c>
      <x:c r="L29" s="3" t="str">
        <x:v>原创</x:v>
      </x:c>
      <x:c r="M29" s="3" t="str">
        <x:v>扩展</x:v>
      </x:c>
    </x:row>
    <x:row r="30" ht="30" customHeight="1">
      <x:c r="A30" s="13" t="str">
        <x:v>I025</x:v>
      </x:c>
      <x:c r="B30" s="13" t="str">
        <x:v>绵羊</x:v>
      </x:c>
      <x:c r="C30" s="13" t="str">
        <x:v>优秀</x:v>
      </x:c>
      <x:c r="D30" s="14" t="n">
        <x:v>2</x:v>
      </x:c>
      <x:c r="E30" s="13" t="str">
        <x:v>接触</x:v>
      </x:c>
      <x:c r="F30" s="13" t="str">
        <x:v>接触工具时生成1团羊毛；第二次产毛后本回合不再产毛。</x:v>
      </x:c>
      <x:c r="G30" s="13" t="str">
        <x:v>每个工具1次；最多2团</x:v>
      </x:c>
      <x:c r="H30" s="13" t="str">
        <x:v>牧场</x:v>
      </x:c>
      <x:c r="I30" s="13" t="str">
        <x:v>动物、生产者</x:v>
      </x:c>
      <x:c r="J30" s="13" t="str">
        <x:v>椭圆形</x:v>
      </x:c>
      <x:c r="K30" s="13" t="str">
        <x:v>不规则形</x:v>
      </x:c>
      <x:c r="L30" s="13" t="str">
        <x:v>原创</x:v>
      </x:c>
      <x:c r="M30" s="13" t="str">
        <x:v>扩展</x:v>
      </x:c>
    </x:row>
    <x:row r="31" ht="38" customHeight="1">
      <x:c r="A31" s="3" t="str">
        <x:v>I026</x:v>
      </x:c>
      <x:c r="B31" s="3" t="str">
        <x:v>毛虫</x:v>
      </x:c>
      <x:c r="C31" s="3" t="str">
        <x:v>普通</x:v>
      </x:c>
      <x:c r="D31" s="15" t="n">
        <x:v>1</x:v>
      </x:c>
      <x:c r="E31" s="3" t="str">
        <x:v>结算末</x:v>
      </x:c>
      <x:c r="F31" s="3" t="str">
        <x:v>若存活且本回合没有接触过工具，自身永久成长1；达到3成长时永久转化为彩翼蝶。</x:v>
      </x:c>
      <x:c r="G31" s="3" t="str">
        <x:v>每回合1成长；仅此转化永久</x:v>
      </x:c>
      <x:c r="H31" s="3" t="str">
        <x:v>牧场</x:v>
      </x:c>
      <x:c r="I31" s="3" t="str">
        <x:v>动物、成长</x:v>
      </x:c>
      <x:c r="J31" s="3" t="str">
        <x:v>短长条形</x:v>
      </x:c>
      <x:c r="K31" s="3" t="str">
        <x:v>长条形</x:v>
      </x:c>
      <x:c r="L31" s="3" t="str">
        <x:v>Caterpillar（触发器!D12）；Butterfly（触发器!D105）</x:v>
      </x:c>
      <x:c r="M31" s="3" t="str">
        <x:v>扩展</x:v>
      </x:c>
    </x:row>
    <x:row r="32" ht="30" customHeight="1">
      <x:c r="A32" s="13" t="str">
        <x:v>I027</x:v>
      </x:c>
      <x:c r="B32" s="13" t="str">
        <x:v>孵化器</x:v>
      </x:c>
      <x:c r="C32" s="13" t="str">
        <x:v>稀有</x:v>
      </x:c>
      <x:c r="D32" s="14" t="n">
        <x:v>2</x:v>
      </x:c>
      <x:c r="E32" s="13" t="str">
        <x:v>接触</x:v>
      </x:c>
      <x:c r="F32" s="13" t="str">
        <x:v>消耗1颗蛋，生成1只雏鸟；若已接触过火元素，该雏鸟基础分+4。</x:v>
      </x:c>
      <x:c r="G32" s="13" t="str">
        <x:v>最多孵化3次；加热不消耗火元素</x:v>
      </x:c>
      <x:c r="H32" s="13" t="str">
        <x:v>牧场</x:v>
      </x:c>
      <x:c r="I32" s="13" t="str">
        <x:v>牧场、工具、生产者</x:v>
      </x:c>
      <x:c r="J32" s="13" t="str">
        <x:v>圆角方形</x:v>
      </x:c>
      <x:c r="K32" s="13" t="str">
        <x:v>方形</x:v>
      </x:c>
      <x:c r="L32" s="13" t="str">
        <x:v>Egg Carton（触发器!D78）；Chicken（触发器!D71）</x:v>
      </x:c>
      <x:c r="M32" s="13" t="str">
        <x:v>首测候选</x:v>
      </x:c>
    </x:row>
    <x:row r="33" ht="30" customHeight="1">
      <x:c r="A33" s="3" t="str">
        <x:v>I028</x:v>
      </x:c>
      <x:c r="B33" s="3" t="str">
        <x:v>牧羊犬</x:v>
      </x:c>
      <x:c r="C33" s="3" t="str">
        <x:v>普通</x:v>
      </x:c>
      <x:c r="D33" s="15" t="n">
        <x:v>2</x:v>
      </x:c>
      <x:c r="E33" s="3" t="str">
        <x:v>接触</x:v>
      </x:c>
      <x:c r="F33" s="3" t="str">
        <x:v>接触其他动物时，使其+2；若该动物已生产过物品，自己再+2。</x:v>
      </x:c>
      <x:c r="G33" s="3" t="str">
        <x:v>每个目标1次；最多4个</x:v>
      </x:c>
      <x:c r="H33" s="3" t="str">
        <x:v>牧场</x:v>
      </x:c>
      <x:c r="I33" s="3" t="str">
        <x:v>动物、牧场辅助</x:v>
      </x:c>
      <x:c r="J33" s="3" t="str">
        <x:v>不规则椭圆</x:v>
      </x:c>
      <x:c r="K33" s="3" t="str">
        <x:v>不规则形</x:v>
      </x:c>
      <x:c r="L33" s="3" t="str">
        <x:v>原创</x:v>
      </x:c>
      <x:c r="M33" s="3" t="str">
        <x:v>首测候选</x:v>
      </x:c>
    </x:row>
    <x:row r="34" ht="30" customHeight="1">
      <x:c r="A34" s="13" t="str">
        <x:v>I029</x:v>
      </x:c>
      <x:c r="B34" s="13" t="str">
        <x:v>蛋托</x:v>
      </x:c>
      <x:c r="C34" s="13" t="str">
        <x:v>优秀</x:v>
      </x:c>
      <x:c r="D34" s="14" t="n">
        <x:v>1</x:v>
      </x:c>
      <x:c r="E34" s="13" t="str">
        <x:v>接触及结算倍率</x:v>
      </x:c>
      <x:c r="F34" s="13" t="str">
        <x:v>收存最多4颗蛋；至少收存3颗时，结算中相接触的动物各获得+50%倍率。</x:v>
      </x:c>
      <x:c r="G34" s="13" t="str">
        <x:v>容量4；最多影响3件动物</x:v>
      </x:c>
      <x:c r="H34" s="13" t="str">
        <x:v>牧场</x:v>
      </x:c>
      <x:c r="I34" s="13" t="str">
        <x:v>牧场、容器</x:v>
      </x:c>
      <x:c r="J34" s="13" t="str">
        <x:v>凹槽长条</x:v>
      </x:c>
      <x:c r="K34" s="13" t="str">
        <x:v>凹槽形</x:v>
      </x:c>
      <x:c r="L34" s="13" t="str">
        <x:v>Egg Carton（触发器!D78）</x:v>
      </x:c>
      <x:c r="M34" s="13" t="str">
        <x:v>扩展</x:v>
      </x:c>
    </x:row>
    <x:row r="35" ht="38" customHeight="1">
      <x:c r="A35" s="3" t="str">
        <x:v>I030</x:v>
      </x:c>
      <x:c r="B35" s="3" t="str">
        <x:v>牧场牌</x:v>
      </x:c>
      <x:c r="C35" s="3" t="str">
        <x:v>史诗</x:v>
      </x:c>
      <x:c r="D35" s="15" t="n">
        <x:v>3</x:v>
      </x:c>
      <x:c r="E35" s="3" t="str">
        <x:v>结算加分</x:v>
      </x:c>
      <x:c r="F35" s="3" t="str">
        <x:v>本回合动物生产的每种不同产物，使所有存活动物各+2。</x:v>
      </x:c>
      <x:c r="G35" s="3" t="str">
        <x:v>最多计4种产物</x:v>
      </x:c>
      <x:c r="H35" s="3" t="str">
        <x:v>牧场</x:v>
      </x:c>
      <x:c r="I35" s="3" t="str">
        <x:v>牧场、结算核心</x:v>
      </x:c>
      <x:c r="J35" s="3" t="str">
        <x:v>六边形</x:v>
      </x:c>
      <x:c r="K35" s="3" t="str">
        <x:v>不规则形</x:v>
      </x:c>
      <x:c r="L35" s="3" t="str">
        <x:v>Chicken（触发器!D71）；Cash Register（触发器!D36）</x:v>
      </x:c>
      <x:c r="M35" s="3" t="str">
        <x:v>扩展</x:v>
      </x:c>
    </x:row>
    <x:row r="36" ht="30" customHeight="1">
      <x:c r="A36" s="13" t="str">
        <x:v>I031</x:v>
      </x:c>
      <x:c r="B36" s="13" t="str">
        <x:v>碎石</x:v>
      </x:c>
      <x:c r="C36" s="13" t="str">
        <x:v>普通</x:v>
      </x:c>
      <x:c r="D36" s="14" t="n">
        <x:v>2</x:v>
      </x:c>
      <x:c r="E36" s="13" t="str">
        <x:v>被消耗</x:v>
      </x:c>
      <x:c r="F36" s="13" t="str">
        <x:v>被矿业物品消耗时，额外记分2。</x:v>
      </x:c>
      <x:c r="G36" s="13" t="str">
        <x:v>自身1次</x:v>
      </x:c>
      <x:c r="H36" s="13" t="str">
        <x:v>矿业</x:v>
      </x:c>
      <x:c r="I36" s="13" t="str">
        <x:v>矿石、原料</x:v>
      </x:c>
      <x:c r="J36" s="13" t="str">
        <x:v>不规则多边形</x:v>
      </x:c>
      <x:c r="K36" s="13" t="str">
        <x:v>不规则形</x:v>
      </x:c>
      <x:c r="L36" s="13" t="str">
        <x:v>Cairn（触发器!D34）</x:v>
      </x:c>
      <x:c r="M36" s="13" t="str">
        <x:v>首测候选</x:v>
      </x:c>
    </x:row>
    <x:row r="37" ht="30" customHeight="1">
      <x:c r="A37" s="3" t="str">
        <x:v>I032</x:v>
      </x:c>
      <x:c r="B37" s="3" t="str">
        <x:v>铜矿块</x:v>
      </x:c>
      <x:c r="C37" s="3" t="str">
        <x:v>普通</x:v>
      </x:c>
      <x:c r="D37" s="15" t="n">
        <x:v>3</x:v>
      </x:c>
      <x:c r="E37" s="3" t="str">
        <x:v>接触</x:v>
      </x:c>
      <x:c r="F37" s="3" t="str">
        <x:v>首次接触工具时，自身+2。</x:v>
      </x:c>
      <x:c r="G37" s="3" t="str">
        <x:v>每回合1次</x:v>
      </x:c>
      <x:c r="H37" s="3" t="str">
        <x:v>矿业</x:v>
      </x:c>
      <x:c r="I37" s="3" t="str">
        <x:v>矿石、原料</x:v>
      </x:c>
      <x:c r="J37" s="3" t="str">
        <x:v>钝三角形</x:v>
      </x:c>
      <x:c r="K37" s="3" t="str">
        <x:v>三角形</x:v>
      </x:c>
      <x:c r="L37" s="3" t="str">
        <x:v>Rock Crusher（触发器!D92）</x:v>
      </x:c>
      <x:c r="M37" s="3" t="str">
        <x:v>扩展</x:v>
      </x:c>
    </x:row>
    <x:row r="38" ht="30" customHeight="1">
      <x:c r="A38" s="13" t="str">
        <x:v>I033</x:v>
      </x:c>
      <x:c r="B38" s="13" t="str">
        <x:v>铁矿块</x:v>
      </x:c>
      <x:c r="C38" s="13" t="str">
        <x:v>优秀</x:v>
      </x:c>
      <x:c r="D38" s="14" t="n">
        <x:v>4</x:v>
      </x:c>
      <x:c r="E38" s="13" t="str">
        <x:v>被消耗</x:v>
      </x:c>
      <x:c r="F38" s="13" t="str">
        <x:v>被熔炉收存时，该熔炉+3。</x:v>
      </x:c>
      <x:c r="G38" s="13" t="str">
        <x:v>自身1次</x:v>
      </x:c>
      <x:c r="H38" s="13" t="str">
        <x:v>矿业</x:v>
      </x:c>
      <x:c r="I38" s="13" t="str">
        <x:v>矿石、原料</x:v>
      </x:c>
      <x:c r="J38" s="13" t="str">
        <x:v>方形</x:v>
      </x:c>
      <x:c r="K38" s="13" t="str">
        <x:v>方形</x:v>
      </x:c>
      <x:c r="L38" s="13" t="str">
        <x:v>原创</x:v>
      </x:c>
      <x:c r="M38" s="13" t="str">
        <x:v>扩展</x:v>
      </x:c>
    </x:row>
    <x:row r="39" ht="30" customHeight="1">
      <x:c r="A39" s="3" t="str">
        <x:v>I034</x:v>
      </x:c>
      <x:c r="B39" s="3" t="str">
        <x:v>宝石原胚</x:v>
      </x:c>
      <x:c r="C39" s="3" t="str">
        <x:v>优秀</x:v>
      </x:c>
      <x:c r="D39" s="15" t="n">
        <x:v>2</x:v>
      </x:c>
      <x:c r="E39" s="3" t="str">
        <x:v>接触</x:v>
      </x:c>
      <x:c r="F39" s="3" t="str">
        <x:v>接触鉴定师时，消耗自身并生成1颗晶屑；该晶屑基础分为8。</x:v>
      </x:c>
      <x:c r="G39" s="3" t="str">
        <x:v>自身1次</x:v>
      </x:c>
      <x:c r="H39" s="3" t="str">
        <x:v>矿业</x:v>
      </x:c>
      <x:c r="I39" s="3" t="str">
        <x:v>矿石、原料、生产者</x:v>
      </x:c>
      <x:c r="J39" s="3" t="str">
        <x:v>菱形</x:v>
      </x:c>
      <x:c r="K39" s="3" t="str">
        <x:v>不规则形</x:v>
      </x:c>
      <x:c r="L39" s="3" t="str">
        <x:v>Gem Mine（触发器!D79）</x:v>
      </x:c>
      <x:c r="M39" s="3" t="str">
        <x:v>扩展</x:v>
      </x:c>
    </x:row>
    <x:row r="40" ht="30" customHeight="1">
      <x:c r="A40" s="13" t="str">
        <x:v>I035</x:v>
      </x:c>
      <x:c r="B40" s="13" t="str">
        <x:v>采石袋</x:v>
      </x:c>
      <x:c r="C40" s="13" t="str">
        <x:v>普通</x:v>
      </x:c>
      <x:c r="D40" s="14" t="n">
        <x:v>1</x:v>
      </x:c>
      <x:c r="E40" s="13" t="str">
        <x:v>接触</x:v>
      </x:c>
      <x:c r="F40" s="13" t="str">
        <x:v>接触矿石时生成1颗小石子。</x:v>
      </x:c>
      <x:c r="G40" s="13" t="str">
        <x:v>每个目标1次；最多3颗</x:v>
      </x:c>
      <x:c r="H40" s="13" t="str">
        <x:v>矿业</x:v>
      </x:c>
      <x:c r="I40" s="13" t="str">
        <x:v>矿业、生产者</x:v>
      </x:c>
      <x:c r="J40" s="13" t="str">
        <x:v>圆袋形</x:v>
      </x:c>
      <x:c r="K40" s="13" t="str">
        <x:v>不规则形</x:v>
      </x:c>
      <x:c r="L40" s="13" t="str">
        <x:v>Avalanche（触发器!D30）</x:v>
      </x:c>
      <x:c r="M40" s="13" t="str">
        <x:v>首测候选</x:v>
      </x:c>
    </x:row>
    <x:row r="41" ht="30" customHeight="1">
      <x:c r="A41" s="3" t="str">
        <x:v>I036</x:v>
      </x:c>
      <x:c r="B41" s="3" t="str">
        <x:v>矿工镐</x:v>
      </x:c>
      <x:c r="C41" s="3" t="str">
        <x:v>优秀</x:v>
      </x:c>
      <x:c r="D41" s="15" t="n">
        <x:v>2</x:v>
      </x:c>
      <x:c r="E41" s="3" t="str">
        <x:v>接触</x:v>
      </x:c>
      <x:c r="F41" s="3" t="str">
        <x:v>消耗1件矿石，生成2颗小石子。</x:v>
      </x:c>
      <x:c r="G41" s="3" t="str">
        <x:v>最多处理2件；不处理小石子</x:v>
      </x:c>
      <x:c r="H41" s="3" t="str">
        <x:v>矿业</x:v>
      </x:c>
      <x:c r="I41" s="3" t="str">
        <x:v>矿业、工具、生产者</x:v>
      </x:c>
      <x:c r="J41" s="3" t="str">
        <x:v>丁字形</x:v>
      </x:c>
      <x:c r="K41" s="3" t="str">
        <x:v>不规则形</x:v>
      </x:c>
      <x:c r="L41" s="3" t="str">
        <x:v>Rock Crusher（触发器!D92）；Axe（触发器!D68）</x:v>
      </x:c>
      <x:c r="M41" s="3" t="str">
        <x:v>首测候选</x:v>
      </x:c>
    </x:row>
    <x:row r="42" ht="38" customHeight="1">
      <x:c r="A42" s="13" t="str">
        <x:v>I037</x:v>
      </x:c>
      <x:c r="B42" s="13" t="str">
        <x:v>碎石机</x:v>
      </x:c>
      <x:c r="C42" s="13" t="str">
        <x:v>稀有</x:v>
      </x:c>
      <x:c r="D42" s="14" t="n">
        <x:v>2</x:v>
      </x:c>
      <x:c r="E42" s="13" t="str">
        <x:v>接触</x:v>
      </x:c>
      <x:c r="F42" s="13" t="str">
        <x:v>消耗1颗小石子，50%生成1颗晶屑，50%生成1块金砂。</x:v>
      </x:c>
      <x:c r="G42" s="13" t="str">
        <x:v>最多处理4颗；失败分支仍有产物</x:v>
      </x:c>
      <x:c r="H42" s="13" t="str">
        <x:v>矿业</x:v>
      </x:c>
      <x:c r="I42" s="13" t="str">
        <x:v>矿业、工具、生产者</x:v>
      </x:c>
      <x:c r="J42" s="13" t="str">
        <x:v>齿轮形</x:v>
      </x:c>
      <x:c r="K42" s="13" t="str">
        <x:v>不规则形</x:v>
      </x:c>
      <x:c r="L42" s="13" t="str">
        <x:v>Rock Crusher（触发器!D92）；Gem Mine（触发器!D79）</x:v>
      </x:c>
      <x:c r="M42" s="13" t="str">
        <x:v>首测候选</x:v>
      </x:c>
    </x:row>
    <x:row r="43" ht="38" customHeight="1">
      <x:c r="A43" s="3" t="str">
        <x:v>I038</x:v>
      </x:c>
      <x:c r="B43" s="3" t="str">
        <x:v>熔炉</x:v>
      </x:c>
      <x:c r="C43" s="3" t="str">
        <x:v>稀有</x:v>
      </x:c>
      <x:c r="D43" s="15" t="n">
        <x:v>2</x:v>
      </x:c>
      <x:c r="E43" s="3" t="str">
        <x:v>接触</x:v>
      </x:c>
      <x:c r="F43" s="3" t="str">
        <x:v>收存2件矿石后，接触火元素时消耗两份储存，生成1块金属锭，基础分增加两份存入值之和。</x:v>
      </x:c>
      <x:c r="G43" s="3" t="str">
        <x:v>每回合最多2块锭；容量2</x:v>
      </x:c>
      <x:c r="H43" s="3" t="str">
        <x:v>矿业</x:v>
      </x:c>
      <x:c r="I43" s="3" t="str">
        <x:v>矿业、工具、容器、生产者</x:v>
      </x:c>
      <x:c r="J43" s="3" t="str">
        <x:v>方炉形</x:v>
      </x:c>
      <x:c r="K43" s="3" t="str">
        <x:v>方形</x:v>
      </x:c>
      <x:c r="L43" s="3" t="str">
        <x:v>Kiln（触发器!D83）</x:v>
      </x:c>
      <x:c r="M43" s="3" t="str">
        <x:v>首测候选</x:v>
      </x:c>
    </x:row>
    <x:row r="44" ht="30" customHeight="1">
      <x:c r="A44" s="13" t="str">
        <x:v>I039</x:v>
      </x:c>
      <x:c r="B44" s="13" t="str">
        <x:v>铁砧</x:v>
      </x:c>
      <x:c r="C44" s="13" t="str">
        <x:v>优秀</x:v>
      </x:c>
      <x:c r="D44" s="14" t="n">
        <x:v>2</x:v>
      </x:c>
      <x:c r="E44" s="13" t="str">
        <x:v>接触</x:v>
      </x:c>
      <x:c r="F44" s="13" t="str">
        <x:v>使接触的金属或矿石+2；若目标已被其他工具处理或增值过，再+2。</x:v>
      </x:c>
      <x:c r="G44" s="13" t="str">
        <x:v>每个目标1次；最多4件</x:v>
      </x:c>
      <x:c r="H44" s="13" t="str">
        <x:v>矿业</x:v>
      </x:c>
      <x:c r="I44" s="13" t="str">
        <x:v>矿业、工具</x:v>
      </x:c>
      <x:c r="J44" s="13" t="str">
        <x:v>梯形</x:v>
      </x:c>
      <x:c r="K44" s="13" t="str">
        <x:v>不规则形</x:v>
      </x:c>
      <x:c r="L44" s="13" t="str">
        <x:v>原创</x:v>
      </x:c>
      <x:c r="M44" s="13" t="str">
        <x:v>扩展</x:v>
      </x:c>
    </x:row>
    <x:row r="45" ht="30" customHeight="1">
      <x:c r="A45" s="3" t="str">
        <x:v>I040</x:v>
      </x:c>
      <x:c r="B45" s="3" t="str">
        <x:v>鉴定师</x:v>
      </x:c>
      <x:c r="C45" s="3" t="str">
        <x:v>史诗</x:v>
      </x:c>
      <x:c r="D45" s="15" t="n">
        <x:v>3</x:v>
      </x:c>
      <x:c r="E45" s="3" t="str">
        <x:v>结算倍率</x:v>
      </x:c>
      <x:c r="F45" s="3" t="str">
        <x:v>场上宝石名称至少3种时，所有宝石获得+50%结算倍率。</x:v>
      </x:c>
      <x:c r="G45" s="3" t="str">
        <x:v>最多影响6件</x:v>
      </x:c>
      <x:c r="H45" s="3" t="str">
        <x:v>矿业</x:v>
      </x:c>
      <x:c r="I45" s="3" t="str">
        <x:v>矿业、结算核心</x:v>
      </x:c>
      <x:c r="J45" s="3" t="str">
        <x:v>棋子形</x:v>
      </x:c>
      <x:c r="K45" s="3" t="str">
        <x:v>不规则形</x:v>
      </x:c>
      <x:c r="L45" s="3" t="str">
        <x:v>Gem Mine（触发器!D79）；Museum（触发器!D87）</x:v>
      </x:c>
      <x:c r="M45" s="3" t="str">
        <x:v>扩展</x:v>
      </x:c>
    </x:row>
    <x:row r="46" ht="30" customHeight="1">
      <x:c r="A46" s="13" t="str">
        <x:v>I041</x:v>
      </x:c>
      <x:c r="B46" s="13" t="str">
        <x:v>火种</x:v>
      </x:c>
      <x:c r="C46" s="13" t="str">
        <x:v>普通</x:v>
      </x:c>
      <x:c r="D46" s="14" t="n">
        <x:v>2</x:v>
      </x:c>
      <x:c r="E46" s="13" t="str">
        <x:v>接触</x:v>
      </x:c>
      <x:c r="F46" s="13" t="str">
        <x:v>使首次接触的非元素物品+2。</x:v>
      </x:c>
      <x:c r="G46" s="13" t="str">
        <x:v>每回合1个目标</x:v>
      </x:c>
      <x:c r="H46" s="13" t="str">
        <x:v>元素</x:v>
      </x:c>
      <x:c r="I46" s="13" t="str">
        <x:v>火元素</x:v>
      </x:c>
      <x:c r="J46" s="13" t="str">
        <x:v>水滴形</x:v>
      </x:c>
      <x:c r="K46" s="13" t="str">
        <x:v>不规则形</x:v>
      </x:c>
      <x:c r="L46" s="13" t="str">
        <x:v>Spell of Ignition（触发器!D124）</x:v>
      </x:c>
      <x:c r="M46" s="13" t="str">
        <x:v>首测候选</x:v>
      </x:c>
    </x:row>
    <x:row r="47" ht="30" customHeight="1">
      <x:c r="A47" s="3" t="str">
        <x:v>I042</x:v>
      </x:c>
      <x:c r="B47" s="3" t="str">
        <x:v>冰块</x:v>
      </x:c>
      <x:c r="C47" s="3" t="str">
        <x:v>普通</x:v>
      </x:c>
      <x:c r="D47" s="15" t="n">
        <x:v>2</x:v>
      </x:c>
      <x:c r="E47" s="3" t="str">
        <x:v>接触</x:v>
      </x:c>
      <x:c r="F47" s="3" t="str">
        <x:v>接触火元素时消耗自身，生成2颗水珠。</x:v>
      </x:c>
      <x:c r="G47" s="3" t="str">
        <x:v>自身1次；不消耗火元素</x:v>
      </x:c>
      <x:c r="H47" s="3" t="str">
        <x:v>元素</x:v>
      </x:c>
      <x:c r="I47" s="3" t="str">
        <x:v>水元素、生产者</x:v>
      </x:c>
      <x:c r="J47" s="3" t="str">
        <x:v>方形</x:v>
      </x:c>
      <x:c r="K47" s="3" t="str">
        <x:v>方形</x:v>
      </x:c>
      <x:c r="L47" s="3" t="str">
        <x:v>Ice Cubes（触发器!D16）</x:v>
      </x:c>
      <x:c r="M47" s="3" t="str">
        <x:v>首测候选</x:v>
      </x:c>
    </x:row>
    <x:row r="48" ht="30" customHeight="1">
      <x:c r="A48" s="13" t="str">
        <x:v>I043</x:v>
      </x:c>
      <x:c r="B48" s="13" t="str">
        <x:v>换热器</x:v>
      </x:c>
      <x:c r="C48" s="13" t="str">
        <x:v>优秀</x:v>
      </x:c>
      <x:c r="D48" s="14" t="n">
        <x:v>2</x:v>
      </x:c>
      <x:c r="E48" s="13" t="str">
        <x:v>接触</x:v>
      </x:c>
      <x:c r="F48" s="13" t="str">
        <x:v>消耗水珠生成火星；消耗火星生成水珠。每次转化自身+1。</x:v>
      </x:c>
      <x:c r="G48" s="13" t="str">
        <x:v>每回合总共4次；只处理这两种产物</x:v>
      </x:c>
      <x:c r="H48" s="13" t="str">
        <x:v>元素</x:v>
      </x:c>
      <x:c r="I48" s="13" t="str">
        <x:v>元素、工具、生产者</x:v>
      </x:c>
      <x:c r="J48" s="13" t="str">
        <x:v>圆角长方形</x:v>
      </x:c>
      <x:c r="K48" s="13" t="str">
        <x:v>长条形</x:v>
      </x:c>
      <x:c r="L48" s="13" t="str">
        <x:v>Radiator（触发器!D23）</x:v>
      </x:c>
      <x:c r="M48" s="13" t="str">
        <x:v>首测候选</x:v>
      </x:c>
    </x:row>
    <x:row r="49" ht="30" customHeight="1">
      <x:c r="A49" s="3" t="str">
        <x:v>I044</x:v>
      </x:c>
      <x:c r="B49" s="3" t="str">
        <x:v>蜡烛</x:v>
      </x:c>
      <x:c r="C49" s="3" t="str">
        <x:v>优秀</x:v>
      </x:c>
      <x:c r="D49" s="15" t="n">
        <x:v>2</x:v>
      </x:c>
      <x:c r="E49" s="3" t="str">
        <x:v>接触及结算倍率</x:v>
      </x:c>
      <x:c r="F49" s="3" t="str">
        <x:v>接触火元素后点亮；结算时相接触的非元素物品各获得+50%倍率。</x:v>
      </x:c>
      <x:c r="G49" s="3" t="str">
        <x:v>点亮1次；最多影响3件</x:v>
      </x:c>
      <x:c r="H49" s="3" t="str">
        <x:v>元素</x:v>
      </x:c>
      <x:c r="I49" s="3" t="str">
        <x:v>元素、辅助</x:v>
      </x:c>
      <x:c r="J49" s="3" t="str">
        <x:v>细长形</x:v>
      </x:c>
      <x:c r="K49" s="3" t="str">
        <x:v>长条形</x:v>
      </x:c>
      <x:c r="L49" s="3" t="str">
        <x:v>Candle（触发器!D11）</x:v>
      </x:c>
      <x:c r="M49" s="3" t="str">
        <x:v>首测候选</x:v>
      </x:c>
    </x:row>
    <x:row r="50" ht="30" customHeight="1">
      <x:c r="A50" s="13" t="str">
        <x:v>I045</x:v>
      </x:c>
      <x:c r="B50" s="13" t="str">
        <x:v>小火山</x:v>
      </x:c>
      <x:c r="C50" s="13" t="str">
        <x:v>稀有</x:v>
      </x:c>
      <x:c r="D50" s="14" t="n">
        <x:v>3</x:v>
      </x:c>
      <x:c r="E50" s="13" t="str">
        <x:v>接触</x:v>
      </x:c>
      <x:c r="F50" s="13" t="str">
        <x:v>消耗1件矿石，在附近生成2颗火星。</x:v>
      </x:c>
      <x:c r="G50" s="13" t="str">
        <x:v>每回合2次</x:v>
      </x:c>
      <x:c r="H50" s="13" t="str">
        <x:v>元素</x:v>
      </x:c>
      <x:c r="I50" s="13" t="str">
        <x:v>元素、生产者</x:v>
      </x:c>
      <x:c r="J50" s="13" t="str">
        <x:v>三角形</x:v>
      </x:c>
      <x:c r="K50" s="13" t="str">
        <x:v>三角形</x:v>
      </x:c>
      <x:c r="L50" s="13" t="str">
        <x:v>Volcano（触发器!D62）</x:v>
      </x:c>
      <x:c r="M50" s="13" t="str">
        <x:v>扩展</x:v>
      </x:c>
    </x:row>
    <x:row r="51" ht="30" customHeight="1">
      <x:c r="A51" s="3" t="str">
        <x:v>I046</x:v>
      </x:c>
      <x:c r="B51" s="3" t="str">
        <x:v>泉眼</x:v>
      </x:c>
      <x:c r="C51" s="3" t="str">
        <x:v>普通</x:v>
      </x:c>
      <x:c r="D51" s="15" t="n">
        <x:v>1</x:v>
      </x:c>
      <x:c r="E51" s="3" t="str">
        <x:v>接触</x:v>
      </x:c>
      <x:c r="F51" s="3" t="str">
        <x:v>接触矿石时生成1颗水珠；接触植物时改为使该植物+2。</x:v>
      </x:c>
      <x:c r="G51" s="3" t="str">
        <x:v>每个目标1次；产水2次；增值3次</x:v>
      </x:c>
      <x:c r="H51" s="3" t="str">
        <x:v>元素</x:v>
      </x:c>
      <x:c r="I51" s="3" t="str">
        <x:v>元素、生产者</x:v>
      </x:c>
      <x:c r="J51" s="3" t="str">
        <x:v>圆形</x:v>
      </x:c>
      <x:c r="K51" s="3" t="str">
        <x:v>圆形</x:v>
      </x:c>
      <x:c r="L51" s="3" t="str">
        <x:v>Lake（触发器!D49）</x:v>
      </x:c>
      <x:c r="M51" s="3" t="str">
        <x:v>扩展</x:v>
      </x:c>
    </x:row>
    <x:row r="52" ht="30" customHeight="1">
      <x:c r="A52" s="13" t="str">
        <x:v>I047</x:v>
      </x:c>
      <x:c r="B52" s="13" t="str">
        <x:v>火把</x:v>
      </x:c>
      <x:c r="C52" s="13" t="str">
        <x:v>优秀</x:v>
      </x:c>
      <x:c r="D52" s="14" t="n">
        <x:v>2</x:v>
      </x:c>
      <x:c r="E52" s="13" t="str">
        <x:v>接触</x:v>
      </x:c>
      <x:c r="F52" s="13" t="str">
        <x:v>给接触的非元素物品火属性标记，本回合额外视为火元素。</x:v>
      </x:c>
      <x:c r="G52" s="13" t="str">
        <x:v>每个目标1次；最多2件</x:v>
      </x:c>
      <x:c r="H52" s="13" t="str">
        <x:v>元素</x:v>
      </x:c>
      <x:c r="I52" s="13" t="str">
        <x:v>火元素、装备</x:v>
      </x:c>
      <x:c r="J52" s="13" t="str">
        <x:v>长棒形</x:v>
      </x:c>
      <x:c r="K52" s="13" t="str">
        <x:v>长条形</x:v>
      </x:c>
      <x:c r="L52" s="13" t="str">
        <x:v>Torch（触发器!D60）</x:v>
      </x:c>
      <x:c r="M52" s="13" t="str">
        <x:v>扩展</x:v>
      </x:c>
    </x:row>
    <x:row r="53" ht="30" customHeight="1">
      <x:c r="A53" s="3" t="str">
        <x:v>I048</x:v>
      </x:c>
      <x:c r="B53" s="3" t="str">
        <x:v>风箱</x:v>
      </x:c>
      <x:c r="C53" s="3" t="str">
        <x:v>优秀</x:v>
      </x:c>
      <x:c r="D53" s="15" t="n">
        <x:v>2</x:v>
      </x:c>
      <x:c r="E53" s="3" t="str">
        <x:v>接触</x:v>
      </x:c>
      <x:c r="F53" s="3" t="str">
        <x:v>接触火元素时使自己+2；并使该火元素+2。</x:v>
      </x:c>
      <x:c r="G53" s="3" t="str">
        <x:v>每个目标1次；最多4个</x:v>
      </x:c>
      <x:c r="H53" s="3" t="str">
        <x:v>元素</x:v>
      </x:c>
      <x:c r="I53" s="3" t="str">
        <x:v>元素、工具</x:v>
      </x:c>
      <x:c r="J53" s="3" t="str">
        <x:v>扇形</x:v>
      </x:c>
      <x:c r="K53" s="3" t="str">
        <x:v>不规则形</x:v>
      </x:c>
      <x:c r="L53" s="3" t="str">
        <x:v>Capacitor（触发器!D35）</x:v>
      </x:c>
      <x:c r="M53" s="3" t="str">
        <x:v>扩展</x:v>
      </x:c>
    </x:row>
    <x:row r="54" ht="30" customHeight="1">
      <x:c r="A54" s="13" t="str">
        <x:v>I049</x:v>
      </x:c>
      <x:c r="B54" s="13" t="str">
        <x:v>鞭炮</x:v>
      </x:c>
      <x:c r="C54" s="13" t="str">
        <x:v>稀有</x:v>
      </x:c>
      <x:c r="D54" s="14" t="n">
        <x:v>1</x:v>
      </x:c>
      <x:c r="E54" s="13" t="str">
        <x:v>接触</x:v>
      </x:c>
      <x:c r="F54" s="13" t="str">
        <x:v>接触火元素时消耗自身，生成3颗礼花。</x:v>
      </x:c>
      <x:c r="G54" s="13" t="str">
        <x:v>自身1次；不消耗触发者</x:v>
      </x:c>
      <x:c r="H54" s="13" t="str">
        <x:v>元素</x:v>
      </x:c>
      <x:c r="I54" s="13" t="str">
        <x:v>元素、生产者</x:v>
      </x:c>
      <x:c r="J54" s="13" t="str">
        <x:v>短圆柱形</x:v>
      </x:c>
      <x:c r="K54" s="13" t="str">
        <x:v>圆形</x:v>
      </x:c>
      <x:c r="L54" s="13" t="str">
        <x:v>Firecracker（触发器!D42）</x:v>
      </x:c>
      <x:c r="M54" s="13" t="str">
        <x:v>扩展</x:v>
      </x:c>
    </x:row>
    <x:row r="55" ht="38" customHeight="1">
      <x:c r="A55" s="3" t="str">
        <x:v>I050</x:v>
      </x:c>
      <x:c r="B55" s="3" t="str">
        <x:v>蒸汽锅炉</x:v>
      </x:c>
      <x:c r="C55" s="3" t="str">
        <x:v>史诗</x:v>
      </x:c>
      <x:c r="D55" s="15" t="n">
        <x:v>3</x:v>
      </x:c>
      <x:c r="E55" s="3" t="str">
        <x:v>接触</x:v>
      </x:c>
      <x:c r="F55" s="3" t="str">
        <x:v>分别收存1件水元素与1件火元素后，消耗两份储存，生成1团蒸汽，并给所有相接触的非元素物品+3。</x:v>
      </x:c>
      <x:c r="G55" s="3" t="str">
        <x:v>完成2组；每组最多增值3件</x:v>
      </x:c>
      <x:c r="H55" s="3" t="str">
        <x:v>元素</x:v>
      </x:c>
      <x:c r="I55" s="3" t="str">
        <x:v>元素、容器、生产者</x:v>
      </x:c>
      <x:c r="J55" s="3" t="str">
        <x:v>圆桶形</x:v>
      </x:c>
      <x:c r="K55" s="3" t="str">
        <x:v>圆形</x:v>
      </x:c>
      <x:c r="L55" s="3" t="str">
        <x:v>Radiator（触发器!D23）；Water Mill（触发器!D101）</x:v>
      </x:c>
      <x:c r="M55" s="3" t="str">
        <x:v>首测候选</x:v>
      </x:c>
    </x:row>
    <x:row r="56" ht="30" customHeight="1">
      <x:c r="A56" s="13" t="str">
        <x:v>I051</x:v>
      </x:c>
      <x:c r="B56" s="13" t="str">
        <x:v>金币</x:v>
      </x:c>
      <x:c r="C56" s="13" t="str">
        <x:v>普通</x:v>
      </x:c>
      <x:c r="D56" s="14" t="n">
        <x:v>3</x:v>
      </x:c>
      <x:c r="E56" s="13" t="str">
        <x:v>结算加分</x:v>
      </x:c>
      <x:c r="F56" s="13" t="str">
        <x:v>本回合曾接触容器时，自身+2。</x:v>
      </x:c>
      <x:c r="G56" s="13" t="str">
        <x:v>每回合1次</x:v>
      </x:c>
      <x:c r="H56" s="13" t="str">
        <x:v>储存</x:v>
      </x:c>
      <x:c r="I56" s="13" t="str">
        <x:v>货币、金属</x:v>
      </x:c>
      <x:c r="J56" s="13" t="str">
        <x:v>圆形</x:v>
      </x:c>
      <x:c r="K56" s="13" t="str">
        <x:v>圆形</x:v>
      </x:c>
      <x:c r="L56" s="13" t="str">
        <x:v>Credit Card（触发器!D14）</x:v>
      </x:c>
      <x:c r="M56" s="13" t="str">
        <x:v>首测候选</x:v>
      </x:c>
    </x:row>
    <x:row r="57" ht="30" customHeight="1">
      <x:c r="A57" s="3" t="str">
        <x:v>I052</x:v>
      </x:c>
      <x:c r="B57" s="3" t="str">
        <x:v>存钱猪</x:v>
      </x:c>
      <x:c r="C57" s="3" t="str">
        <x:v>优秀</x:v>
      </x:c>
      <x:c r="D57" s="15" t="n">
        <x:v>1</x:v>
      </x:c>
      <x:c r="E57" s="3" t="str">
        <x:v>接触及结算加分</x:v>
      </x:c>
      <x:c r="F57" s="3" t="str">
        <x:v>收存货币；结算时自身增加所有存入值之和，每存1件再+2。</x:v>
      </x:c>
      <x:c r="G57" s="3" t="str">
        <x:v>容量3；每回合最多收存3件</x:v>
      </x:c>
      <x:c r="H57" s="3" t="str">
        <x:v>储存</x:v>
      </x:c>
      <x:c r="I57" s="3" t="str">
        <x:v>容器、动物</x:v>
      </x:c>
      <x:c r="J57" s="3" t="str">
        <x:v>椭圆形</x:v>
      </x:c>
      <x:c r="K57" s="3" t="str">
        <x:v>不规则形</x:v>
      </x:c>
      <x:c r="L57" s="3" t="str">
        <x:v>Piggy Bonk（触发器!D53）</x:v>
      </x:c>
      <x:c r="M57" s="3" t="str">
        <x:v>首测候选</x:v>
      </x:c>
    </x:row>
    <x:row r="58" ht="30" customHeight="1">
      <x:c r="A58" s="13" t="str">
        <x:v>I053</x:v>
      </x:c>
      <x:c r="B58" s="13" t="str">
        <x:v>储水杯</x:v>
      </x:c>
      <x:c r="C58" s="13" t="str">
        <x:v>普通</x:v>
      </x:c>
      <x:c r="D58" s="14" t="n">
        <x:v>1</x:v>
      </x:c>
      <x:c r="E58" s="13" t="str">
        <x:v>接触及结算加分</x:v>
      </x:c>
      <x:c r="F58" s="13" t="str">
        <x:v>收存水元素；结算时每份存入使自己+4，若存满再+4。</x:v>
      </x:c>
      <x:c r="G58" s="13" t="str">
        <x:v>容量3</x:v>
      </x:c>
      <x:c r="H58" s="13" t="str">
        <x:v>储存</x:v>
      </x:c>
      <x:c r="I58" s="13" t="str">
        <x:v>容器、元素</x:v>
      </x:c>
      <x:c r="J58" s="13" t="str">
        <x:v>杯形</x:v>
      </x:c>
      <x:c r="K58" s="13" t="str">
        <x:v>凹槽形</x:v>
      </x:c>
      <x:c r="L58" s="13" t="str">
        <x:v>Pale Chalice（触发器!D117）；Well（触发器!D64）</x:v>
      </x:c>
      <x:c r="M58" s="13" t="str">
        <x:v>扩展</x:v>
      </x:c>
    </x:row>
    <x:row r="59" ht="30" customHeight="1">
      <x:c r="A59" s="3" t="str">
        <x:v>I054</x:v>
      </x:c>
      <x:c r="B59" s="3" t="str">
        <x:v>回收桶</x:v>
      </x:c>
      <x:c r="C59" s="3" t="str">
        <x:v>普通</x:v>
      </x:c>
      <x:c r="D59" s="15" t="n">
        <x:v>1</x:v>
      </x:c>
      <x:c r="E59" s="3" t="str">
        <x:v>接触及结算加分</x:v>
      </x:c>
      <x:c r="F59" s="3" t="str">
        <x:v>仅收存临时产物；结算时自身增加其存入值之和。</x:v>
      </x:c>
      <x:c r="G59" s="3" t="str">
        <x:v>容量4</x:v>
      </x:c>
      <x:c r="H59" s="3" t="str">
        <x:v>储存</x:v>
      </x:c>
      <x:c r="I59" s="3" t="str">
        <x:v>容器、消费者</x:v>
      </x:c>
      <x:c r="J59" s="3" t="str">
        <x:v>梯形</x:v>
      </x:c>
      <x:c r="K59" s="3" t="str">
        <x:v>不规则形</x:v>
      </x:c>
      <x:c r="L59" s="3" t="str">
        <x:v>Recycling Bin（触发器!D55）</x:v>
      </x:c>
      <x:c r="M59" s="3" t="str">
        <x:v>首测候选</x:v>
      </x:c>
    </x:row>
    <x:row r="60" ht="30" customHeight="1">
      <x:c r="A60" s="13" t="str">
        <x:v>I055</x:v>
      </x:c>
      <x:c r="B60" s="13" t="str">
        <x:v>钱包</x:v>
      </x:c>
      <x:c r="C60" s="13" t="str">
        <x:v>优秀</x:v>
      </x:c>
      <x:c r="D60" s="14" t="n">
        <x:v>2</x:v>
      </x:c>
      <x:c r="E60" s="13" t="str">
        <x:v>接触</x:v>
      </x:c>
      <x:c r="F60" s="13" t="str">
        <x:v>接触货币时给它零钱标记；该货币被收存时额外生成1枚零钱。</x:v>
      </x:c>
      <x:c r="G60" s="13" t="str">
        <x:v>每个目标1次；最多3个；同名标记不叠加</x:v>
      </x:c>
      <x:c r="H60" s="13" t="str">
        <x:v>储存</x:v>
      </x:c>
      <x:c r="I60" s="13" t="str">
        <x:v>货币辅助、装备、生产者</x:v>
      </x:c>
      <x:c r="J60" s="13" t="str">
        <x:v>扁方形</x:v>
      </x:c>
      <x:c r="K60" s="13" t="str">
        <x:v>方形</x:v>
      </x:c>
      <x:c r="L60" s="13" t="str">
        <x:v>Wallet（触发器!D63）</x:v>
      </x:c>
      <x:c r="M60" s="13" t="str">
        <x:v>首测候选</x:v>
      </x:c>
    </x:row>
    <x:row r="61" ht="30" customHeight="1">
      <x:c r="A61" s="3" t="str">
        <x:v>I056</x:v>
      </x:c>
      <x:c r="B61" s="3" t="str">
        <x:v>收银机</x:v>
      </x:c>
      <x:c r="C61" s="3" t="str">
        <x:v>稀有</x:v>
      </x:c>
      <x:c r="D61" s="15" t="n">
        <x:v>2</x:v>
      </x:c>
      <x:c r="E61" s="3" t="str">
        <x:v>接触</x:v>
      </x:c>
      <x:c r="F61" s="3" t="str">
        <x:v>接触已存入物品的容器时，按其中不同名称数量生成零钱。</x:v>
      </x:c>
      <x:c r="G61" s="3" t="str">
        <x:v>每容器1次；每回合总共最多4枚</x:v>
      </x:c>
      <x:c r="H61" s="3" t="str">
        <x:v>储存</x:v>
      </x:c>
      <x:c r="I61" s="3" t="str">
        <x:v>储存辅助、生产者</x:v>
      </x:c>
      <x:c r="J61" s="3" t="str">
        <x:v>梯形</x:v>
      </x:c>
      <x:c r="K61" s="3" t="str">
        <x:v>不规则形</x:v>
      </x:c>
      <x:c r="L61" s="3" t="str">
        <x:v>Cash Register（触发器!D36）</x:v>
      </x:c>
      <x:c r="M61" s="3" t="str">
        <x:v>首测候选</x:v>
      </x:c>
    </x:row>
    <x:row r="62" ht="30" customHeight="1">
      <x:c r="A62" s="13" t="str">
        <x:v>I057</x:v>
      </x:c>
      <x:c r="B62" s="13" t="str">
        <x:v>投资箱</x:v>
      </x:c>
      <x:c r="C62" s="13" t="str">
        <x:v>稀有</x:v>
      </x:c>
      <x:c r="D62" s="14" t="n">
        <x:v>2</x:v>
      </x:c>
      <x:c r="E62" s="13" t="str">
        <x:v>接触及结算末</x:v>
      </x:c>
      <x:c r="F62" s="13" t="str">
        <x:v>收存最多2件货币。结算时每份存入使自己+3；若存满，自身永久基础分+1。</x:v>
      </x:c>
      <x:c r="G62" s="13" t="str">
        <x:v>容量2；永久累计+12封顶</x:v>
      </x:c>
      <x:c r="H62" s="13" t="str">
        <x:v>储存</x:v>
      </x:c>
      <x:c r="I62" s="13" t="str">
        <x:v>容器、成长</x:v>
      </x:c>
      <x:c r="J62" s="13" t="str">
        <x:v>方形</x:v>
      </x:c>
      <x:c r="K62" s="13" t="str">
        <x:v>方形</x:v>
      </x:c>
      <x:c r="L62" s="13" t="str">
        <x:v>Investment Bonk（触发器!D46）</x:v>
      </x:c>
      <x:c r="M62" s="13" t="str">
        <x:v>扩展</x:v>
      </x:c>
    </x:row>
    <x:row r="63" ht="30" customHeight="1">
      <x:c r="A63" s="3" t="str">
        <x:v>I058</x:v>
      </x:c>
      <x:c r="B63" s="3" t="str">
        <x:v>货架</x:v>
      </x:c>
      <x:c r="C63" s="3" t="str">
        <x:v>优秀</x:v>
      </x:c>
      <x:c r="D63" s="15" t="n">
        <x:v>2</x:v>
      </x:c>
      <x:c r="E63" s="3" t="str">
        <x:v>结算加分</x:v>
      </x:c>
      <x:c r="F63" s="3" t="str">
        <x:v>相接触的每个非空容器，自身+3；其中每个满载容器再使自身+2。</x:v>
      </x:c>
      <x:c r="G63" s="3" t="str">
        <x:v>最多计3个容器</x:v>
      </x:c>
      <x:c r="H63" s="3" t="str">
        <x:v>储存</x:v>
      </x:c>
      <x:c r="I63" s="3" t="str">
        <x:v>储存辅助</x:v>
      </x:c>
      <x:c r="J63" s="3" t="str">
        <x:v>凹字形</x:v>
      </x:c>
      <x:c r="K63" s="3" t="str">
        <x:v>凹槽形</x:v>
      </x:c>
      <x:c r="L63" s="3" t="str">
        <x:v>Ballmart（触发器!D3）</x:v>
      </x:c>
      <x:c r="M63" s="3" t="str">
        <x:v>扩展</x:v>
      </x:c>
    </x:row>
    <x:row r="64" ht="30" customHeight="1">
      <x:c r="A64" s="13" t="str">
        <x:v>I059</x:v>
      </x:c>
      <x:c r="B64" s="13" t="str">
        <x:v>保险箱</x:v>
      </x:c>
      <x:c r="C64" s="13" t="str">
        <x:v>史诗</x:v>
      </x:c>
      <x:c r="D64" s="14" t="n">
        <x:v>3</x:v>
      </x:c>
      <x:c r="E64" s="13" t="str">
        <x:v>接触及结算加分</x:v>
      </x:c>
      <x:c r="F64" s="13" t="str">
        <x:v>仅收存当前值至少8的物品；结算时增加存入值之和，并且每件再+6。</x:v>
      </x:c>
      <x:c r="G64" s="13" t="str">
        <x:v>容量2</x:v>
      </x:c>
      <x:c r="H64" s="13" t="str">
        <x:v>储存</x:v>
      </x:c>
      <x:c r="I64" s="13" t="str">
        <x:v>容器、结算核心</x:v>
      </x:c>
      <x:c r="J64" s="13" t="str">
        <x:v>方形</x:v>
      </x:c>
      <x:c r="K64" s="13" t="str">
        <x:v>方形</x:v>
      </x:c>
      <x:c r="L64" s="13" t="str">
        <x:v>Closet（触发器!D72）；Museum（触发器!D87）</x:v>
      </x:c>
      <x:c r="M64" s="13" t="str">
        <x:v>扩展</x:v>
      </x:c>
    </x:row>
    <x:row r="65" ht="30" customHeight="1">
      <x:c r="A65" s="3" t="str">
        <x:v>I060</x:v>
      </x:c>
      <x:c r="B65" s="3" t="str">
        <x:v>拍卖槌</x:v>
      </x:c>
      <x:c r="C65" s="3" t="str">
        <x:v>稀有</x:v>
      </x:c>
      <x:c r="D65" s="15" t="n">
        <x:v>2</x:v>
      </x:c>
      <x:c r="E65" s="3" t="str">
        <x:v>结算倍率</x:v>
      </x:c>
      <x:c r="F65" s="3" t="str">
        <x:v>所有与自己接触的容器中，冻结值最高者获得+100%结算倍率。</x:v>
      </x:c>
      <x:c r="G65" s="3" t="str">
        <x:v>仅1个目标</x:v>
      </x:c>
      <x:c r="H65" s="3" t="str">
        <x:v>储存</x:v>
      </x:c>
      <x:c r="I65" s="3" t="str">
        <x:v>储存辅助、工具</x:v>
      </x:c>
      <x:c r="J65" s="3" t="str">
        <x:v>丁字形</x:v>
      </x:c>
      <x:c r="K65" s="3" t="str">
        <x:v>不规则形</x:v>
      </x:c>
      <x:c r="L65" s="3" t="str">
        <x:v>Museum（触发器!D87）</x:v>
      </x:c>
      <x:c r="M65" s="3" t="str">
        <x:v>扩展</x:v>
      </x:c>
    </x:row>
    <x:row r="66" ht="30" customHeight="1">
      <x:c r="A66" s="13" t="str">
        <x:v>I061</x:v>
      </x:c>
      <x:c r="B66" s="13" t="str">
        <x:v>小电池</x:v>
      </x:c>
      <x:c r="C66" s="13" t="str">
        <x:v>普通</x:v>
      </x:c>
      <x:c r="D66" s="14" t="n">
        <x:v>1</x:v>
      </x:c>
      <x:c r="E66" s="13" t="str">
        <x:v>接触</x:v>
      </x:c>
      <x:c r="F66" s="13" t="str">
        <x:v>初始3供电；接触充能物品时转移1供电为其1充能。</x:v>
      </x:c>
      <x:c r="G66" s="13" t="str">
        <x:v>每个目标1次；不能给电源充电</x:v>
      </x:c>
      <x:c r="H66" s="13" t="str">
        <x:v>机械</x:v>
      </x:c>
      <x:c r="I66" s="13" t="str">
        <x:v>机械、电源</x:v>
      </x:c>
      <x:c r="J66" s="13" t="str">
        <x:v>胶囊形</x:v>
      </x:c>
      <x:c r="K66" s="13" t="str">
        <x:v>长条形</x:v>
      </x:c>
      <x:c r="L66" s="13" t="str">
        <x:v>Battery（触发器!D31）</x:v>
      </x:c>
      <x:c r="M66" s="13" t="str">
        <x:v>首测候选</x:v>
      </x:c>
    </x:row>
    <x:row r="67" ht="30" customHeight="1">
      <x:c r="A67" s="3" t="str">
        <x:v>I062</x:v>
      </x:c>
      <x:c r="B67" s="3" t="str">
        <x:v>发条玩具</x:v>
      </x:c>
      <x:c r="C67" s="3" t="str">
        <x:v>普通</x:v>
      </x:c>
      <x:c r="D67" s="15" t="n">
        <x:v>2</x:v>
      </x:c>
      <x:c r="E67" s="3" t="str">
        <x:v>接触</x:v>
      </x:c>
      <x:c r="F67" s="3" t="str">
        <x:v>初始2充能；接触其他物品时花1充能，自己+3。</x:v>
      </x:c>
      <x:c r="G67" s="3" t="str">
        <x:v>每个目标1次；最多4次</x:v>
      </x:c>
      <x:c r="H67" s="3" t="str">
        <x:v>机械</x:v>
      </x:c>
      <x:c r="I67" s="3" t="str">
        <x:v>机械、充能</x:v>
      </x:c>
      <x:c r="J67" s="3" t="str">
        <x:v>方形</x:v>
      </x:c>
      <x:c r="K67" s="3" t="str">
        <x:v>方形</x:v>
      </x:c>
      <x:c r="L67" s="3" t="str">
        <x:v>Juggler（触发器!D47）</x:v>
      </x:c>
      <x:c r="M67" s="3" t="str">
        <x:v>首测候选</x:v>
      </x:c>
    </x:row>
    <x:row r="68" ht="30" customHeight="1">
      <x:c r="A68" s="13" t="str">
        <x:v>I063</x:v>
      </x:c>
      <x:c r="B68" s="13" t="str">
        <x:v>转子发电机</x:v>
      </x:c>
      <x:c r="C68" s="13" t="str">
        <x:v>优秀</x:v>
      </x:c>
      <x:c r="D68" s="14" t="n">
        <x:v>2</x:v>
      </x:c>
      <x:c r="E68" s="13" t="str">
        <x:v>接触</x:v>
      </x:c>
      <x:c r="F68" s="13" t="str">
        <x:v>接触工具时，使一个当前接触的充能物品获得1充能。</x:v>
      </x:c>
      <x:c r="G68" s="13" t="str">
        <x:v>每个工具1次；每回合最多3充能</x:v>
      </x:c>
      <x:c r="H68" s="13" t="str">
        <x:v>机械</x:v>
      </x:c>
      <x:c r="I68" s="13" t="str">
        <x:v>机械、电源</x:v>
      </x:c>
      <x:c r="J68" s="13" t="str">
        <x:v>齿轮形</x:v>
      </x:c>
      <x:c r="K68" s="13" t="str">
        <x:v>不规则形</x:v>
      </x:c>
      <x:c r="L68" s="13" t="str">
        <x:v>Battery（触发器!D31）；Kiln（触发器!D83）</x:v>
      </x:c>
      <x:c r="M68" s="13" t="str">
        <x:v>扩展</x:v>
      </x:c>
    </x:row>
    <x:row r="69" ht="30" customHeight="1">
      <x:c r="A69" s="3" t="str">
        <x:v>I064</x:v>
      </x:c>
      <x:c r="B69" s="3" t="str">
        <x:v>电容罐</x:v>
      </x:c>
      <x:c r="C69" s="3" t="str">
        <x:v>优秀</x:v>
      </x:c>
      <x:c r="D69" s="15" t="n">
        <x:v>1</x:v>
      </x:c>
      <x:c r="E69" s="3" t="str">
        <x:v>接触及结算加分</x:v>
      </x:c>
      <x:c r="F69" s="3" t="str">
        <x:v>初始0充能；每次获得充能时自己+1；结算时每份剩余充能再+3。</x:v>
      </x:c>
      <x:c r="G69" s="3" t="str">
        <x:v>充能上限5；获得充能奖励最多5次</x:v>
      </x:c>
      <x:c r="H69" s="3" t="str">
        <x:v>机械</x:v>
      </x:c>
      <x:c r="I69" s="3" t="str">
        <x:v>机械、充能</x:v>
      </x:c>
      <x:c r="J69" s="3" t="str">
        <x:v>圆柱形</x:v>
      </x:c>
      <x:c r="K69" s="3" t="str">
        <x:v>圆形</x:v>
      </x:c>
      <x:c r="L69" s="3" t="str">
        <x:v>Capacitor（触发器!D35）</x:v>
      </x:c>
      <x:c r="M69" s="3" t="str">
        <x:v>首测候选</x:v>
      </x:c>
    </x:row>
    <x:row r="70" ht="30" customHeight="1">
      <x:c r="A70" s="13" t="str">
        <x:v>I065</x:v>
      </x:c>
      <x:c r="B70" s="13" t="str">
        <x:v>插座</x:v>
      </x:c>
      <x:c r="C70" s="13" t="str">
        <x:v>优秀</x:v>
      </x:c>
      <x:c r="D70" s="14" t="n">
        <x:v>1</x:v>
      </x:c>
      <x:c r="E70" s="13" t="str">
        <x:v>接触</x:v>
      </x:c>
      <x:c r="F70" s="13" t="str">
        <x:v>初始2充能；接触非机械物品时花1充能，使其+4。</x:v>
      </x:c>
      <x:c r="G70" s="13" t="str">
        <x:v>每个目标1次；最多4次</x:v>
      </x:c>
      <x:c r="H70" s="13" t="str">
        <x:v>机械</x:v>
      </x:c>
      <x:c r="I70" s="13" t="str">
        <x:v>机械、充能</x:v>
      </x:c>
      <x:c r="J70" s="13" t="str">
        <x:v>方形</x:v>
      </x:c>
      <x:c r="K70" s="13" t="str">
        <x:v>方形</x:v>
      </x:c>
      <x:c r="L70" s="13" t="str">
        <x:v>Outlet（触发器!D88）</x:v>
      </x:c>
      <x:c r="M70" s="13" t="str">
        <x:v>首测候选</x:v>
      </x:c>
    </x:row>
    <x:row r="71" ht="38" customHeight="1">
      <x:c r="A71" s="3" t="str">
        <x:v>I066</x:v>
      </x:c>
      <x:c r="B71" s="3" t="str">
        <x:v>冷却柜</x:v>
      </x:c>
      <x:c r="C71" s="3" t="str">
        <x:v>稀有</x:v>
      </x:c>
      <x:c r="D71" s="15" t="n">
        <x:v>2</x:v>
      </x:c>
      <x:c r="E71" s="3" t="str">
        <x:v>接触</x:v>
      </x:c>
      <x:c r="F71" s="3" t="str">
        <x:v>初始2充能；接触充能物品时花1充能，给对方效率标记，使其下一次正常花费充能的效果少耗1充能。</x:v>
      </x:c>
      <x:c r="G71" s="3" t="str">
        <x:v>每目标1次；最多2次；不重置次数上限</x:v>
      </x:c>
      <x:c r="H71" s="3" t="str">
        <x:v>机械</x:v>
      </x:c>
      <x:c r="I71" s="3" t="str">
        <x:v>机械、充能</x:v>
      </x:c>
      <x:c r="J71" s="3" t="str">
        <x:v>长方形</x:v>
      </x:c>
      <x:c r="K71" s="3" t="str">
        <x:v>长条形</x:v>
      </x:c>
      <x:c r="L71" s="3" t="str">
        <x:v>Refrigerator（触发器!D91）；Running Cap（触发器!D93）</x:v>
      </x:c>
      <x:c r="M71" s="3" t="str">
        <x:v>扩展</x:v>
      </x:c>
    </x:row>
    <x:row r="72" ht="38" customHeight="1">
      <x:c r="A72" s="13" t="str">
        <x:v>I067</x:v>
      </x:c>
      <x:c r="B72" s="13" t="str">
        <x:v>复印机</x:v>
      </x:c>
      <x:c r="C72" s="13" t="str">
        <x:v>史诗</x:v>
      </x:c>
      <x:c r="D72" s="14" t="n">
        <x:v>2</x:v>
      </x:c>
      <x:c r="E72" s="13" t="str">
        <x:v>接触</x:v>
      </x:c>
      <x:c r="F72" s="13" t="str">
        <x:v>初始2充能；接触非容器物品时花1充能，生成1张纸影，基础分等于目标当前值，上限12。</x:v>
      </x:c>
      <x:c r="G72" s="13" t="str">
        <x:v>每目标1次；最多2张；不复制能力或永久成长</x:v>
      </x:c>
      <x:c r="H72" s="13" t="str">
        <x:v>机械</x:v>
      </x:c>
      <x:c r="I72" s="13" t="str">
        <x:v>机械、充能、生产者</x:v>
      </x:c>
      <x:c r="J72" s="13" t="str">
        <x:v>梯形</x:v>
      </x:c>
      <x:c r="K72" s="13" t="str">
        <x:v>不规则形</x:v>
      </x:c>
      <x:c r="L72" s="13" t="str">
        <x:v>Axe（触发器!D68）；Half-Off Coupon（增益!D57）</x:v>
      </x:c>
      <x:c r="M72" s="13" t="str">
        <x:v>扩展</x:v>
      </x:c>
    </x:row>
    <x:row r="73" ht="38" customHeight="1">
      <x:c r="A73" s="3" t="str">
        <x:v>I068</x:v>
      </x:c>
      <x:c r="B73" s="3" t="str">
        <x:v>弹簧台</x:v>
      </x:c>
      <x:c r="C73" s="3" t="str">
        <x:v>普通</x:v>
      </x:c>
      <x:c r="D73" s="15" t="n">
        <x:v>1</x:v>
      </x:c>
      <x:c r="E73" s="3" t="str">
        <x:v>接触</x:v>
      </x:c>
      <x:c r="F73" s="3" t="str">
        <x:v>使接触的其他物品+1，并将其轻推离自身，方便寻找下一次接触。</x:v>
      </x:c>
      <x:c r="G73" s="3" t="str">
        <x:v>每目标1次；最多5个；收益与速度无关</x:v>
      </x:c>
      <x:c r="H73" s="3" t="str">
        <x:v>机械</x:v>
      </x:c>
      <x:c r="I73" s="3" t="str">
        <x:v>机械、工具</x:v>
      </x:c>
      <x:c r="J73" s="3" t="str">
        <x:v>扁方形</x:v>
      </x:c>
      <x:c r="K73" s="3" t="str">
        <x:v>方形</x:v>
      </x:c>
      <x:c r="L73" s="3" t="str">
        <x:v>Pinball Bumper（触发器!D21）；Mushroom（触发器!D19）</x:v>
      </x:c>
      <x:c r="M73" s="3" t="str">
        <x:v>扩展</x:v>
      </x:c>
    </x:row>
    <x:row r="74" ht="38" customHeight="1">
      <x:c r="A74" s="13" t="str">
        <x:v>I069</x:v>
      </x:c>
      <x:c r="B74" s="13" t="str">
        <x:v>磁铁</x:v>
      </x:c>
      <x:c r="C74" s="13" t="str">
        <x:v>优秀</x:v>
      </x:c>
      <x:c r="D74" s="14" t="n">
        <x:v>2</x:v>
      </x:c>
      <x:c r="E74" s="13" t="str">
        <x:v>接触及结算加分</x:v>
      </x:c>
      <x:c r="F74" s="13" t="str">
        <x:v>接触金属时给其磁性标记；结算时每个仍与自己接触的带标记金属，使双方各+2。</x:v>
      </x:c>
      <x:c r="G74" s="13" t="str">
        <x:v>最多标记4件；不改变接触判定</x:v>
      </x:c>
      <x:c r="H74" s="13" t="str">
        <x:v>机械</x:v>
      </x:c>
      <x:c r="I74" s="13" t="str">
        <x:v>机械、工具</x:v>
      </x:c>
      <x:c r="J74" s="13" t="str">
        <x:v>马蹄形</x:v>
      </x:c>
      <x:c r="K74" s="13" t="str">
        <x:v>凹槽形</x:v>
      </x:c>
      <x:c r="L74" s="13" t="str">
        <x:v>原创</x:v>
      </x:c>
      <x:c r="M74" s="13" t="str">
        <x:v>扩展</x:v>
      </x:c>
    </x:row>
    <x:row r="75" ht="30" customHeight="1">
      <x:c r="A75" s="3" t="str">
        <x:v>I070</x:v>
      </x:c>
      <x:c r="B75" s="3" t="str">
        <x:v>计数盘</x:v>
      </x:c>
      <x:c r="C75" s="3" t="str">
        <x:v>稀有</x:v>
      </x:c>
      <x:c r="D75" s="15" t="n">
        <x:v>0</x:v>
      </x:c>
      <x:c r="E75" s="3" t="str">
        <x:v>结算加分</x:v>
      </x:c>
      <x:c r="F75" s="3" t="str">
        <x:v>每个存活的非机械物品，使自己+1；名称种类达到8种时再+8。</x:v>
      </x:c>
      <x:c r="G75" s="3" t="str">
        <x:v>数量最多计24件</x:v>
      </x:c>
      <x:c r="H75" s="3" t="str">
        <x:v>机械</x:v>
      </x:c>
      <x:c r="I75" s="3" t="str">
        <x:v>机械、结算核心</x:v>
      </x:c>
      <x:c r="J75" s="3" t="str">
        <x:v>圆形</x:v>
      </x:c>
      <x:c r="K75" s="3" t="str">
        <x:v>圆形</x:v>
      </x:c>
      <x:c r="L75" s="3" t="str">
        <x:v>原创</x:v>
      </x:c>
      <x:c r="M75" s="3" t="str">
        <x:v>首测候选</x:v>
      </x:c>
    </x:row>
    <x:row r="76" ht="30" customHeight="1">
      <x:c r="A76" s="13" t="str">
        <x:v>I071</x:v>
      </x:c>
      <x:c r="B76" s="13" t="str">
        <x:v>灵魂罐</x:v>
      </x:c>
      <x:c r="C76" s="13" t="str">
        <x:v>普通</x:v>
      </x:c>
      <x:c r="D76" s="14" t="n">
        <x:v>1</x:v>
      </x:c>
      <x:c r="E76" s="13" t="str">
        <x:v>接触</x:v>
      </x:c>
      <x:c r="F76" s="13" t="str">
        <x:v>接触任意其他物品时消耗自身，生成2个幽灵。</x:v>
      </x:c>
      <x:c r="G76" s="13" t="str">
        <x:v>自身1次</x:v>
      </x:c>
      <x:c r="H76" s="13" t="str">
        <x:v>灵魂</x:v>
      </x:c>
      <x:c r="I76" s="13" t="str">
        <x:v>灵魂、生产者</x:v>
      </x:c>
      <x:c r="J76" s="13" t="str">
        <x:v>壶形</x:v>
      </x:c>
      <x:c r="K76" s="13" t="str">
        <x:v>不规则形</x:v>
      </x:c>
      <x:c r="L76" s="13" t="str">
        <x:v>Tombstone（增益!D26）；Douter（增益!D9）</x:v>
      </x:c>
      <x:c r="M76" s="13" t="str">
        <x:v>首测候选</x:v>
      </x:c>
    </x:row>
    <x:row r="77" ht="38" customHeight="1">
      <x:c r="A77" s="3" t="str">
        <x:v>I072</x:v>
      </x:c>
      <x:c r="B77" s="3" t="str">
        <x:v>墓碑</x:v>
      </x:c>
      <x:c r="C77" s="3" t="str">
        <x:v>优秀</x:v>
      </x:c>
      <x:c r="D77" s="15" t="n">
        <x:v>2</x:v>
      </x:c>
      <x:c r="E77" s="3" t="str">
        <x:v>接触及结算末</x:v>
      </x:c>
      <x:c r="F77" s="3" t="str">
        <x:v>接触幽灵时自己+2；本回合接触过至少3个幽灵且存活时，永久基础分+1。</x:v>
      </x:c>
      <x:c r="G77" s="3" t="str">
        <x:v>每幽灵1次；增值最多4次；永久累计+10封顶</x:v>
      </x:c>
      <x:c r="H77" s="3" t="str">
        <x:v>灵魂</x:v>
      </x:c>
      <x:c r="I77" s="3" t="str">
        <x:v>灵魂、成长</x:v>
      </x:c>
      <x:c r="J77" s="3" t="str">
        <x:v>拱顶长方形</x:v>
      </x:c>
      <x:c r="K77" s="3" t="str">
        <x:v>弧形</x:v>
      </x:c>
      <x:c r="L77" s="3" t="str">
        <x:v>Museum（触发器!D87）</x:v>
      </x:c>
      <x:c r="M77" s="3" t="str">
        <x:v>扩展</x:v>
      </x:c>
    </x:row>
    <x:row r="78" ht="30" customHeight="1">
      <x:c r="A78" s="13" t="str">
        <x:v>I073</x:v>
      </x:c>
      <x:c r="B78" s="13" t="str">
        <x:v>灵魂石</x:v>
      </x:c>
      <x:c r="C78" s="13" t="str">
        <x:v>优秀</x:v>
      </x:c>
      <x:c r="D78" s="14" t="n">
        <x:v>2</x:v>
      </x:c>
      <x:c r="E78" s="13" t="str">
        <x:v>接触</x:v>
      </x:c>
      <x:c r="F78" s="13" t="str">
        <x:v>消耗1个幽灵，自己增加其当前值并额外+2。</x:v>
      </x:c>
      <x:c r="G78" s="13" t="str">
        <x:v>最多3个</x:v>
      </x:c>
      <x:c r="H78" s="13" t="str">
        <x:v>灵魂</x:v>
      </x:c>
      <x:c r="I78" s="13" t="str">
        <x:v>灵魂、消费者</x:v>
      </x:c>
      <x:c r="J78" s="13" t="str">
        <x:v>菱形</x:v>
      </x:c>
      <x:c r="K78" s="13" t="str">
        <x:v>不规则形</x:v>
      </x:c>
      <x:c r="L78" s="13" t="str">
        <x:v>Hungry Mouth（触发器!D45）</x:v>
      </x:c>
      <x:c r="M78" s="13" t="str">
        <x:v>首测候选</x:v>
      </x:c>
    </x:row>
    <x:row r="79" ht="30" customHeight="1">
      <x:c r="A79" s="3" t="str">
        <x:v>I074</x:v>
      </x:c>
      <x:c r="B79" s="3" t="str">
        <x:v>纸人</x:v>
      </x:c>
      <x:c r="C79" s="3" t="str">
        <x:v>普通</x:v>
      </x:c>
      <x:c r="D79" s="15" t="n">
        <x:v>2</x:v>
      </x:c>
      <x:c r="E79" s="3" t="str">
        <x:v>被消耗</x:v>
      </x:c>
      <x:c r="F79" s="3" t="str">
        <x:v>生成1个幽灵，并给消费者+2。</x:v>
      </x:c>
      <x:c r="G79" s="3" t="str">
        <x:v>自身1次；没有消费者时只生成</x:v>
      </x:c>
      <x:c r="H79" s="3" t="str">
        <x:v>灵魂</x:v>
      </x:c>
      <x:c r="I79" s="3" t="str">
        <x:v>灵魂、消耗材料、生产者</x:v>
      </x:c>
      <x:c r="J79" s="3" t="str">
        <x:v>人字形</x:v>
      </x:c>
      <x:c r="K79" s="3" t="str">
        <x:v>不规则形</x:v>
      </x:c>
      <x:c r="L79" s="3" t="str">
        <x:v>Tombstone（增益!D26）</x:v>
      </x:c>
      <x:c r="M79" s="3" t="str">
        <x:v>首测候选</x:v>
      </x:c>
    </x:row>
    <x:row r="80" ht="30" customHeight="1">
      <x:c r="A80" s="13" t="str">
        <x:v>I075</x:v>
      </x:c>
      <x:c r="B80" s="13" t="str">
        <x:v>引魂灯</x:v>
      </x:c>
      <x:c r="C80" s="13" t="str">
        <x:v>稀有</x:v>
      </x:c>
      <x:c r="D80" s="14" t="n">
        <x:v>2</x:v>
      </x:c>
      <x:c r="E80" s="13" t="str">
        <x:v>接触</x:v>
      </x:c>
      <x:c r="F80" s="13" t="str">
        <x:v>接触幽灵时给它归途标记；该幽灵被消耗时，额外记分等于其消耗时当前值。</x:v>
      </x:c>
      <x:c r="G80" s="13" t="str">
        <x:v>最多3个幽灵；同名标记不叠加</x:v>
      </x:c>
      <x:c r="H80" s="13" t="str">
        <x:v>灵魂</x:v>
      </x:c>
      <x:c r="I80" s="13" t="str">
        <x:v>灵魂、辅助</x:v>
      </x:c>
      <x:c r="J80" s="13" t="str">
        <x:v>灯笼形</x:v>
      </x:c>
      <x:c r="K80" s="13" t="str">
        <x:v>不规则形</x:v>
      </x:c>
      <x:c r="L80" s="13" t="str">
        <x:v>Shopping List（增益!D24）</x:v>
      </x:c>
      <x:c r="M80" s="13" t="str">
        <x:v>扩展</x:v>
      </x:c>
    </x:row>
    <x:row r="81" ht="30" customHeight="1">
      <x:c r="A81" s="3" t="str">
        <x:v>I076</x:v>
      </x:c>
      <x:c r="B81" s="3" t="str">
        <x:v>焚化炉</x:v>
      </x:c>
      <x:c r="C81" s="3" t="str">
        <x:v>稀有</x:v>
      </x:c>
      <x:c r="D81" s="15" t="n">
        <x:v>1</x:v>
      </x:c>
      <x:c r="E81" s="3" t="str">
        <x:v>接触</x:v>
      </x:c>
      <x:c r="F81" s="3" t="str">
        <x:v>消耗1件消耗材料或临时产物，生成1团魂火。</x:v>
      </x:c>
      <x:c r="G81" s="3" t="str">
        <x:v>最多3次；不能消耗魂火</x:v>
      </x:c>
      <x:c r="H81" s="3" t="str">
        <x:v>灵魂</x:v>
      </x:c>
      <x:c r="I81" s="3" t="str">
        <x:v>灵魂、工具、生产者</x:v>
      </x:c>
      <x:c r="J81" s="3" t="str">
        <x:v>方形</x:v>
      </x:c>
      <x:c r="K81" s="3" t="str">
        <x:v>方形</x:v>
      </x:c>
      <x:c r="L81" s="3" t="str">
        <x:v>Douter（增益!D9）；Tombstone（增益!D26）</x:v>
      </x:c>
      <x:c r="M81" s="3" t="str">
        <x:v>首测候选</x:v>
      </x:c>
    </x:row>
    <x:row r="82" ht="30" customHeight="1">
      <x:c r="A82" s="13" t="str">
        <x:v>I077</x:v>
      </x:c>
      <x:c r="B82" s="13" t="str">
        <x:v>亡语铃</x:v>
      </x:c>
      <x:c r="C82" s="13" t="str">
        <x:v>优秀</x:v>
      </x:c>
      <x:c r="D82" s="14" t="n">
        <x:v>2</x:v>
      </x:c>
      <x:c r="E82" s="13" t="str">
        <x:v>消耗事件</x:v>
      </x:c>
      <x:c r="F82" s="13" t="str">
        <x:v>自己曾接触的物品被消耗时，自己+2。</x:v>
      </x:c>
      <x:c r="G82" s="13" t="str">
        <x:v>每目标1次；最多5个；自身必须存活</x:v>
      </x:c>
      <x:c r="H82" s="13" t="str">
        <x:v>灵魂</x:v>
      </x:c>
      <x:c r="I82" s="13" t="str">
        <x:v>灵魂、辅助</x:v>
      </x:c>
      <x:c r="J82" s="13" t="str">
        <x:v>钟形</x:v>
      </x:c>
      <x:c r="K82" s="13" t="str">
        <x:v>不规则形</x:v>
      </x:c>
      <x:c r="L82" s="13" t="str">
        <x:v>Smokestack（增益!D25）</x:v>
      </x:c>
      <x:c r="M82" s="13" t="str">
        <x:v>首测候选</x:v>
      </x:c>
    </x:row>
    <x:row r="83" ht="30" customHeight="1">
      <x:c r="A83" s="3" t="str">
        <x:v>I078</x:v>
      </x:c>
      <x:c r="B83" s="3" t="str">
        <x:v>拾荒者</x:v>
      </x:c>
      <x:c r="C83" s="3" t="str">
        <x:v>普通</x:v>
      </x:c>
      <x:c r="D83" s="15" t="n">
        <x:v>1</x:v>
      </x:c>
      <x:c r="E83" s="3" t="str">
        <x:v>接触</x:v>
      </x:c>
      <x:c r="F83" s="3" t="str">
        <x:v>消耗当前值不超过3的临时产物，自己+4。</x:v>
      </x:c>
      <x:c r="G83" s="3" t="str">
        <x:v>最多3次</x:v>
      </x:c>
      <x:c r="H83" s="3" t="str">
        <x:v>灵魂</x:v>
      </x:c>
      <x:c r="I83" s="3" t="str">
        <x:v>灵魂、消费者</x:v>
      </x:c>
      <x:c r="J83" s="3" t="str">
        <x:v>三角形</x:v>
      </x:c>
      <x:c r="K83" s="3" t="str">
        <x:v>三角形</x:v>
      </x:c>
      <x:c r="L83" s="3" t="str">
        <x:v>Recycling Bin（触发器!D55）</x:v>
      </x:c>
      <x:c r="M83" s="3" t="str">
        <x:v>扩展</x:v>
      </x:c>
    </x:row>
    <x:row r="84" ht="38" customHeight="1">
      <x:c r="A84" s="13" t="str">
        <x:v>I079</x:v>
      </x:c>
      <x:c r="B84" s="13" t="str">
        <x:v>轮回匣</x:v>
      </x:c>
      <x:c r="C84" s="13" t="str">
        <x:v>史诗</x:v>
      </x:c>
      <x:c r="D84" s="14" t="n">
        <x:v>2</x:v>
      </x:c>
      <x:c r="E84" s="13" t="str">
        <x:v>消耗事件</x:v>
      </x:c>
      <x:c r="F84" s="13" t="str">
        <x:v>本回合首个被消耗的初始抽取物品，1秒后在自己附近返还一次；保留它已花掉的次数及充能。</x:v>
      </x:c>
      <x:c r="G84" s="13" t="str">
        <x:v>全场同名效果共1次；10秒前才返还；不复制库存</x:v>
      </x:c>
      <x:c r="H84" s="13" t="str">
        <x:v>灵魂</x:v>
      </x:c>
      <x:c r="I84" s="13" t="str">
        <x:v>灵魂、容器</x:v>
      </x:c>
      <x:c r="J84" s="13" t="str">
        <x:v>六边形</x:v>
      </x:c>
      <x:c r="K84" s="13" t="str">
        <x:v>不规则形</x:v>
      </x:c>
      <x:c r="L84" s="13" t="str">
        <x:v>Spell of Rebirth（触发器!D125）</x:v>
      </x:c>
      <x:c r="M84" s="13" t="str">
        <x:v>扩展</x:v>
      </x:c>
    </x:row>
    <x:row r="85" ht="30" customHeight="1">
      <x:c r="A85" s="3" t="str">
        <x:v>I080</x:v>
      </x:c>
      <x:c r="B85" s="3" t="str">
        <x:v>守墓人</x:v>
      </x:c>
      <x:c r="C85" s="3" t="str">
        <x:v>稀有</x:v>
      </x:c>
      <x:c r="D85" s="15" t="n">
        <x:v>3</x:v>
      </x:c>
      <x:c r="E85" s="3" t="str">
        <x:v>结算倍率</x:v>
      </x:c>
      <x:c r="F85" s="3" t="str">
        <x:v>本回合至少消耗了5个不同实例时，场上灵魂物品获得+50%倍率。</x:v>
      </x:c>
      <x:c r="G85" s="3" t="str">
        <x:v>每回合1次</x:v>
      </x:c>
      <x:c r="H85" s="3" t="str">
        <x:v>灵魂</x:v>
      </x:c>
      <x:c r="I85" s="3" t="str">
        <x:v>灵魂、结算核心</x:v>
      </x:c>
      <x:c r="J85" s="3" t="str">
        <x:v>棋子形</x:v>
      </x:c>
      <x:c r="K85" s="3" t="str">
        <x:v>不规则形</x:v>
      </x:c>
      <x:c r="L85" s="3" t="str">
        <x:v>Trash Can（触发器!D100）</x:v>
      </x:c>
      <x:c r="M85" s="3" t="str">
        <x:v>扩展</x:v>
      </x:c>
    </x:row>
    <x:row r="86" ht="30" customHeight="1">
      <x:c r="A86" s="13" t="str">
        <x:v>I081</x:v>
      </x:c>
      <x:c r="B86" s="13" t="str">
        <x:v>紫水晶</x:v>
      </x:c>
      <x:c r="C86" s="13" t="str">
        <x:v>优秀</x:v>
      </x:c>
      <x:c r="D86" s="14" t="n">
        <x:v>3</x:v>
      </x:c>
      <x:c r="E86" s="13" t="str">
        <x:v>结算加分</x:v>
      </x:c>
      <x:c r="F86" s="13" t="str">
        <x:v>每接触1件其他宝石，自己和对方各+2。</x:v>
      </x:c>
      <x:c r="G86" s="13" t="str">
        <x:v>最多计3件；双方各自的效果可成立</x:v>
      </x:c>
      <x:c r="H86" s="13" t="str">
        <x:v>宝石</x:v>
      </x:c>
      <x:c r="I86" s="13" t="str">
        <x:v>宝石、共鸣</x:v>
      </x:c>
      <x:c r="J86" s="13" t="str">
        <x:v>六边形</x:v>
      </x:c>
      <x:c r="K86" s="13" t="str">
        <x:v>不规则形</x:v>
      </x:c>
      <x:c r="L86" s="13" t="str">
        <x:v>Amethyst（触发器!D103）</x:v>
      </x:c>
      <x:c r="M86" s="13" t="str">
        <x:v>首测候选</x:v>
      </x:c>
    </x:row>
    <x:row r="87" ht="38" customHeight="1">
      <x:c r="A87" s="3" t="str">
        <x:v>I082</x:v>
      </x:c>
      <x:c r="B87" s="3" t="str">
        <x:v>黄水晶</x:v>
      </x:c>
      <x:c r="C87" s="3" t="str">
        <x:v>稀有</x:v>
      </x:c>
      <x:c r="D87" s="15" t="n">
        <x:v>3</x:v>
      </x:c>
      <x:c r="E87" s="3" t="str">
        <x:v>接触</x:v>
      </x:c>
      <x:c r="F87" s="3" t="str">
        <x:v>使接触的成长物品获得培育标记；结算末该目标存活时永久基础分+1。</x:v>
      </x:c>
      <x:c r="G87" s="3" t="str">
        <x:v>每目标1次；每回合2个；每目标来自黄水晶永久累计+6封顶</x:v>
      </x:c>
      <x:c r="H87" s="3" t="str">
        <x:v>宝石</x:v>
      </x:c>
      <x:c r="I87" s="3" t="str">
        <x:v>宝石、成长辅助</x:v>
      </x:c>
      <x:c r="J87" s="3" t="str">
        <x:v>菱形</x:v>
      </x:c>
      <x:c r="K87" s="3" t="str">
        <x:v>不规则形</x:v>
      </x:c>
      <x:c r="L87" s="3" t="str">
        <x:v>Citrine（触发器!D107）</x:v>
      </x:c>
      <x:c r="M87" s="3" t="str">
        <x:v>扩展</x:v>
      </x:c>
    </x:row>
    <x:row r="88" ht="30" customHeight="1">
      <x:c r="A88" s="13" t="str">
        <x:v>I083</x:v>
      </x:c>
      <x:c r="B88" s="13" t="str">
        <x:v>石榴石</x:v>
      </x:c>
      <x:c r="C88" s="13" t="str">
        <x:v>稀有</x:v>
      </x:c>
      <x:c r="D88" s="14" t="n">
        <x:v>3</x:v>
      </x:c>
      <x:c r="E88" s="13" t="str">
        <x:v>接触</x:v>
      </x:c>
      <x:c r="F88" s="13" t="str">
        <x:v>给接触的充能物品1充能。</x:v>
      </x:c>
      <x:c r="G88" s="13" t="str">
        <x:v>每目标1次；最多3个</x:v>
      </x:c>
      <x:c r="H88" s="13" t="str">
        <x:v>宝石</x:v>
      </x:c>
      <x:c r="I88" s="13" t="str">
        <x:v>宝石、充能辅助</x:v>
      </x:c>
      <x:c r="J88" s="13" t="str">
        <x:v>多边形</x:v>
      </x:c>
      <x:c r="K88" s="13" t="str">
        <x:v>不规则形</x:v>
      </x:c>
      <x:c r="L88" s="13" t="str">
        <x:v>Garnet（触发器!D111）</x:v>
      </x:c>
      <x:c r="M88" s="13" t="str">
        <x:v>首测候选</x:v>
      </x:c>
    </x:row>
    <x:row r="89" ht="30" customHeight="1">
      <x:c r="A89" s="3" t="str">
        <x:v>I084</x:v>
      </x:c>
      <x:c r="B89" s="3" t="str">
        <x:v>橄榄石</x:v>
      </x:c>
      <x:c r="C89" s="3" t="str">
        <x:v>优秀</x:v>
      </x:c>
      <x:c r="D89" s="15" t="n">
        <x:v>2</x:v>
      </x:c>
      <x:c r="E89" s="3" t="str">
        <x:v>接触</x:v>
      </x:c>
      <x:c r="F89" s="3" t="str">
        <x:v>接触充能为0的充能物品时，使其充能+2并自己+2。</x:v>
      </x:c>
      <x:c r="G89" s="3" t="str">
        <x:v>每目标1次；最多2个</x:v>
      </x:c>
      <x:c r="H89" s="3" t="str">
        <x:v>宝石</x:v>
      </x:c>
      <x:c r="I89" s="3" t="str">
        <x:v>宝石、充能辅助</x:v>
      </x:c>
      <x:c r="J89" s="3" t="str">
        <x:v>椭圆形</x:v>
      </x:c>
      <x:c r="K89" s="3" t="str">
        <x:v>不规则形</x:v>
      </x:c>
      <x:c r="L89" s="3" t="str">
        <x:v>Peridot（触发器!D118）</x:v>
      </x:c>
      <x:c r="M89" s="3" t="str">
        <x:v>扩展</x:v>
      </x:c>
    </x:row>
    <x:row r="90" ht="38" customHeight="1">
      <x:c r="A90" s="13" t="str">
        <x:v>I085</x:v>
      </x:c>
      <x:c r="B90" s="13" t="str">
        <x:v>黄玉</x:v>
      </x:c>
      <x:c r="C90" s="13" t="str">
        <x:v>史诗</x:v>
      </x:c>
      <x:c r="D90" s="14" t="n">
        <x:v>3</x:v>
      </x:c>
      <x:c r="E90" s="13" t="str">
        <x:v>接触</x:v>
      </x:c>
      <x:c r="F90" s="13" t="str">
        <x:v>给接触的生产者丰产标记；该目标下一次正常生产时额外生产1个同种产物。</x:v>
      </x:c>
      <x:c r="G90" s="13" t="str">
        <x:v>最多2个目标；额外产物不触发其他追加生产</x:v>
      </x:c>
      <x:c r="H90" s="13" t="str">
        <x:v>宝石</x:v>
      </x:c>
      <x:c r="I90" s="13" t="str">
        <x:v>宝石、生产辅助</x:v>
      </x:c>
      <x:c r="J90" s="13" t="str">
        <x:v>菱形</x:v>
      </x:c>
      <x:c r="K90" s="13" t="str">
        <x:v>不规则形</x:v>
      </x:c>
      <x:c r="L90" s="13" t="str">
        <x:v>Topaz（触发器!D126）</x:v>
      </x:c>
      <x:c r="M90" s="13" t="str">
        <x:v>扩展</x:v>
      </x:c>
    </x:row>
    <x:row r="91" ht="30" customHeight="1">
      <x:c r="A91" s="3" t="str">
        <x:v>I086</x:v>
      </x:c>
      <x:c r="B91" s="3" t="str">
        <x:v>棱镜</x:v>
      </x:c>
      <x:c r="C91" s="3" t="str">
        <x:v>稀有</x:v>
      </x:c>
      <x:c r="D91" s="15" t="n">
        <x:v>2</x:v>
      </x:c>
      <x:c r="E91" s="3" t="str">
        <x:v>接触</x:v>
      </x:c>
      <x:c r="F91" s="3" t="str">
        <x:v>接触其他宝石时记录其名称；结算时每记录1种，自己+3。</x:v>
      </x:c>
      <x:c r="G91" s="3" t="str">
        <x:v>最多记录4种</x:v>
      </x:c>
      <x:c r="H91" s="3" t="str">
        <x:v>宝石</x:v>
      </x:c>
      <x:c r="I91" s="3" t="str">
        <x:v>宝石、结算辅助</x:v>
      </x:c>
      <x:c r="J91" s="3" t="str">
        <x:v>三角形</x:v>
      </x:c>
      <x:c r="K91" s="3" t="str">
        <x:v>三角形</x:v>
      </x:c>
      <x:c r="L91" s="3" t="str">
        <x:v>Rainbow（触发器!D90）</x:v>
      </x:c>
      <x:c r="M91" s="3" t="str">
        <x:v>扩展</x:v>
      </x:c>
    </x:row>
    <x:row r="92" ht="30" customHeight="1">
      <x:c r="A92" s="13" t="str">
        <x:v>I087</x:v>
      </x:c>
      <x:c r="B92" s="13" t="str">
        <x:v>共鸣石</x:v>
      </x:c>
      <x:c r="C92" s="13" t="str">
        <x:v>普通</x:v>
      </x:c>
      <x:c r="D92" s="14" t="n">
        <x:v>2</x:v>
      </x:c>
      <x:c r="E92" s="13" t="str">
        <x:v>结算加分</x:v>
      </x:c>
      <x:c r="F92" s="13" t="str">
        <x:v>自己所在的宝石接触连通组有至少3件时，自己+5。</x:v>
      </x:c>
      <x:c r="G92" s="13" t="str">
        <x:v>每件1次</x:v>
      </x:c>
      <x:c r="H92" s="13" t="str">
        <x:v>宝石</x:v>
      </x:c>
      <x:c r="I92" s="13" t="str">
        <x:v>宝石、共鸣</x:v>
      </x:c>
      <x:c r="J92" s="13" t="str">
        <x:v>圆形</x:v>
      </x:c>
      <x:c r="K92" s="13" t="str">
        <x:v>圆形</x:v>
      </x:c>
      <x:c r="L92" s="13" t="str">
        <x:v>Amethyst（触发器!D103）</x:v>
      </x:c>
      <x:c r="M92" s="13" t="str">
        <x:v>首测候选</x:v>
      </x:c>
    </x:row>
    <x:row r="93" ht="30" customHeight="1">
      <x:c r="A93" s="3" t="str">
        <x:v>I088</x:v>
      </x:c>
      <x:c r="B93" s="3" t="str">
        <x:v>调音叉</x:v>
      </x:c>
      <x:c r="C93" s="3" t="str">
        <x:v>优秀</x:v>
      </x:c>
      <x:c r="D93" s="15" t="n">
        <x:v>1</x:v>
      </x:c>
      <x:c r="E93" s="3" t="str">
        <x:v>接触</x:v>
      </x:c>
      <x:c r="F93" s="3" t="str">
        <x:v>接触共鸣物品时，使其和自己各+2。</x:v>
      </x:c>
      <x:c r="G93" s="3" t="str">
        <x:v>每目标1次；最多4个</x:v>
      </x:c>
      <x:c r="H93" s="3" t="str">
        <x:v>宝石</x:v>
      </x:c>
      <x:c r="I93" s="3" t="str">
        <x:v>工具、共鸣</x:v>
      </x:c>
      <x:c r="J93" s="3" t="str">
        <x:v>叉形</x:v>
      </x:c>
      <x:c r="K93" s="3" t="str">
        <x:v>不规则形</x:v>
      </x:c>
      <x:c r="L93" s="3" t="str">
        <x:v>原创</x:v>
      </x:c>
      <x:c r="M93" s="3" t="str">
        <x:v>首测候选</x:v>
      </x:c>
    </x:row>
    <x:row r="94" ht="30" customHeight="1">
      <x:c r="A94" s="13" t="str">
        <x:v>I089</x:v>
      </x:c>
      <x:c r="B94" s="13" t="str">
        <x:v>彩虹珠</x:v>
      </x:c>
      <x:c r="C94" s="13" t="str">
        <x:v>史诗</x:v>
      </x:c>
      <x:c r="D94" s="14" t="n">
        <x:v>4</x:v>
      </x:c>
      <x:c r="E94" s="13" t="str">
        <x:v>结算倍率</x:v>
      </x:c>
      <x:c r="F94" s="13" t="str">
        <x:v>相接触的物品里恰好有3种不同主流派时，它们各获得+75%倍率。</x:v>
      </x:c>
      <x:c r="G94" s="13" t="str">
        <x:v>最多影响4件；流派按本表归属</x:v>
      </x:c>
      <x:c r="H94" s="13" t="str">
        <x:v>宝石</x:v>
      </x:c>
      <x:c r="I94" s="13" t="str">
        <x:v>宝石、结算辅助</x:v>
      </x:c>
      <x:c r="J94" s="13" t="str">
        <x:v>圆形</x:v>
      </x:c>
      <x:c r="K94" s="13" t="str">
        <x:v>圆形</x:v>
      </x:c>
      <x:c r="L94" s="13" t="str">
        <x:v>Rainbow（触发器!D90）</x:v>
      </x:c>
      <x:c r="M94" s="13" t="str">
        <x:v>扩展</x:v>
      </x:c>
    </x:row>
    <x:row r="95" ht="30" customHeight="1">
      <x:c r="A95" s="3" t="str">
        <x:v>I090</x:v>
      </x:c>
      <x:c r="B95" s="3" t="str">
        <x:v>镜片</x:v>
      </x:c>
      <x:c r="C95" s="3" t="str">
        <x:v>稀有</x:v>
      </x:c>
      <x:c r="D95" s="15" t="n">
        <x:v>2</x:v>
      </x:c>
      <x:c r="E95" s="3" t="str">
        <x:v>结算加分</x:v>
      </x:c>
      <x:c r="F95" s="3" t="str">
        <x:v>选择相接触的冻结值最高物品，自己增加其冻结值的50%，向下取整。</x:v>
      </x:c>
      <x:c r="G95" s="3" t="str">
        <x:v>1个目标；不读取对方结算增量</x:v>
      </x:c>
      <x:c r="H95" s="3" t="str">
        <x:v>宝石</x:v>
      </x:c>
      <x:c r="I95" s="3" t="str">
        <x:v>宝石、结算辅助</x:v>
      </x:c>
      <x:c r="J95" s="3" t="str">
        <x:v>扁圆形</x:v>
      </x:c>
      <x:c r="K95" s="3" t="str">
        <x:v>圆形</x:v>
      </x:c>
      <x:c r="L95" s="3" t="str">
        <x:v>原创</x:v>
      </x:c>
      <x:c r="M95" s="3" t="str">
        <x:v>首测候选</x:v>
      </x:c>
    </x:row>
    <x:row r="96" ht="30" customHeight="1">
      <x:c r="A96" s="13" t="str">
        <x:v>I091</x:v>
      </x:c>
      <x:c r="B96" s="13" t="str">
        <x:v>木剑</x:v>
      </x:c>
      <x:c r="C96" s="13" t="str">
        <x:v>普通</x:v>
      </x:c>
      <x:c r="D96" s="14" t="n">
        <x:v>2</x:v>
      </x:c>
      <x:c r="E96" s="13" t="str">
        <x:v>接触</x:v>
      </x:c>
      <x:c r="F96" s="13" t="str">
        <x:v>接触可攻击物品时造成1点伤害，自己+2。</x:v>
      </x:c>
      <x:c r="G96" s="13" t="str">
        <x:v>每目标1次；最多3个</x:v>
      </x:c>
      <x:c r="H96" s="13" t="str">
        <x:v>探险</x:v>
      </x:c>
      <x:c r="I96" s="13" t="str">
        <x:v>装备、工具</x:v>
      </x:c>
      <x:c r="J96" s="13" t="str">
        <x:v>细长形</x:v>
      </x:c>
      <x:c r="K96" s="13" t="str">
        <x:v>长条形</x:v>
      </x:c>
      <x:c r="L96" s="13" t="str">
        <x:v>Sword（触发器!D58）</x:v>
      </x:c>
      <x:c r="M96" s="13" t="str">
        <x:v>首测候选</x:v>
      </x:c>
    </x:row>
    <x:row r="97" ht="38" customHeight="1">
      <x:c r="A97" s="3" t="str">
        <x:v>I092</x:v>
      </x:c>
      <x:c r="B97" s="3" t="str">
        <x:v>木盾</x:v>
      </x:c>
      <x:c r="C97" s="3" t="str">
        <x:v>普通</x:v>
      </x:c>
      <x:c r="D97" s="15" t="n">
        <x:v>2</x:v>
      </x:c>
      <x:c r="E97" s="3" t="str">
        <x:v>接触</x:v>
      </x:c>
      <x:c r="F97" s="3" t="str">
        <x:v>给接触的非容器物品护盾标记；其首次将被消耗时，取消这次消耗及依赖消耗的收益，并移除护盾。</x:v>
      </x:c>
      <x:c r="G97" s="3" t="str">
        <x:v>最多2个目标；同名护盾不叠加</x:v>
      </x:c>
      <x:c r="H97" s="3" t="str">
        <x:v>探险</x:v>
      </x:c>
      <x:c r="I97" s="3" t="str">
        <x:v>装备</x:v>
      </x:c>
      <x:c r="J97" s="3" t="str">
        <x:v>盾形</x:v>
      </x:c>
      <x:c r="K97" s="3" t="str">
        <x:v>不规则形</x:v>
      </x:c>
      <x:c r="L97" s="3" t="str">
        <x:v>Jungle Hat（触发器!D48）；Mouse Trap（增益!D19）</x:v>
      </x:c>
      <x:c r="M97" s="3" t="str">
        <x:v>扩展</x:v>
      </x:c>
    </x:row>
    <x:row r="98" ht="30" customHeight="1">
      <x:c r="A98" s="13" t="str">
        <x:v>I093</x:v>
      </x:c>
      <x:c r="B98" s="13" t="str">
        <x:v>草帽</x:v>
      </x:c>
      <x:c r="C98" s="13" t="str">
        <x:v>普通</x:v>
      </x:c>
      <x:c r="D98" s="14" t="n">
        <x:v>1</x:v>
      </x:c>
      <x:c r="E98" s="13" t="str">
        <x:v>接触</x:v>
      </x:c>
      <x:c r="F98" s="13" t="str">
        <x:v>给接触的植物遮阳标记，使其+3；若结算时仍与草帽接触，再+2。</x:v>
      </x:c>
      <x:c r="G98" s="13" t="str">
        <x:v>每目标1次；最多3个</x:v>
      </x:c>
      <x:c r="H98" s="13" t="str">
        <x:v>探险</x:v>
      </x:c>
      <x:c r="I98" s="13" t="str">
        <x:v>装备、植物辅助</x:v>
      </x:c>
      <x:c r="J98" s="13" t="str">
        <x:v>扁圆形</x:v>
      </x:c>
      <x:c r="K98" s="13" t="str">
        <x:v>圆形</x:v>
      </x:c>
      <x:c r="L98" s="13" t="str">
        <x:v>Jungle Hat（触发器!D48）</x:v>
      </x:c>
      <x:c r="M98" s="13" t="str">
        <x:v>扩展</x:v>
      </x:c>
    </x:row>
    <x:row r="99" ht="30" customHeight="1">
      <x:c r="A99" s="3" t="str">
        <x:v>I094</x:v>
      </x:c>
      <x:c r="B99" s="3" t="str">
        <x:v>礼帽</x:v>
      </x:c>
      <x:c r="C99" s="3" t="str">
        <x:v>稀有</x:v>
      </x:c>
      <x:c r="D99" s="15" t="n">
        <x:v>2</x:v>
      </x:c>
      <x:c r="E99" s="3" t="str">
        <x:v>接触</x:v>
      </x:c>
      <x:c r="F99" s="3" t="str">
        <x:v>给接触的生产者礼帽标记；其下一次生产货币时额外生成1枚零钱。</x:v>
      </x:c>
      <x:c r="G99" s="3" t="str">
        <x:v>最多2个目标；额外产物不触发追加生产</x:v>
      </x:c>
      <x:c r="H99" s="3" t="str">
        <x:v>探险</x:v>
      </x:c>
      <x:c r="I99" s="3" t="str">
        <x:v>装备、货币辅助、生产者</x:v>
      </x:c>
      <x:c r="J99" s="3" t="str">
        <x:v>高帽形</x:v>
      </x:c>
      <x:c r="K99" s="3" t="str">
        <x:v>不规则形</x:v>
      </x:c>
      <x:c r="L99" s="3" t="str">
        <x:v>Tophat（触发器!D99）</x:v>
      </x:c>
      <x:c r="M99" s="3" t="str">
        <x:v>扩展</x:v>
      </x:c>
    </x:row>
    <x:row r="100" ht="30" customHeight="1">
      <x:c r="A100" s="13" t="str">
        <x:v>I095</x:v>
      </x:c>
      <x:c r="B100" s="13" t="str">
        <x:v>罗盘</x:v>
      </x:c>
      <x:c r="C100" s="13" t="str">
        <x:v>优秀</x:v>
      </x:c>
      <x:c r="D100" s="14" t="n">
        <x:v>2</x:v>
      </x:c>
      <x:c r="E100" s="13" t="str">
        <x:v>结算倍率</x:v>
      </x:c>
      <x:c r="F100" s="13" t="str">
        <x:v>相接触的物品中，选冻结值最高的1件，给予+50%倍率。</x:v>
      </x:c>
      <x:c r="G100" s="13" t="str">
        <x:v>1个目标</x:v>
      </x:c>
      <x:c r="H100" s="13" t="str">
        <x:v>探险</x:v>
      </x:c>
      <x:c r="I100" s="13" t="str">
        <x:v>装备、结算辅助</x:v>
      </x:c>
      <x:c r="J100" s="13" t="str">
        <x:v>圆形</x:v>
      </x:c>
      <x:c r="K100" s="13" t="str">
        <x:v>圆形</x:v>
      </x:c>
      <x:c r="L100" s="13" t="str">
        <x:v>Compass（触发器!D73）</x:v>
      </x:c>
      <x:c r="M100" s="13" t="str">
        <x:v>扩展</x:v>
      </x:c>
    </x:row>
    <x:row r="101" ht="38" customHeight="1">
      <x:c r="A101" s="3" t="str">
        <x:v>I096</x:v>
      </x:c>
      <x:c r="B101" s="3" t="str">
        <x:v>地图</x:v>
      </x:c>
      <x:c r="C101" s="3" t="str">
        <x:v>稀有</x:v>
      </x:c>
      <x:c r="D101" s="15" t="n">
        <x:v>2</x:v>
      </x:c>
      <x:c r="E101" s="3" t="str">
        <x:v>接触</x:v>
      </x:c>
      <x:c r="F101" s="3" t="str">
        <x:v>给接触的探险物品路标；路标使宝箱所需钥匙由2降至1，使可攻击物品所需总伤害降低1但最低为1。</x:v>
      </x:c>
      <x:c r="G101" s="3" t="str">
        <x:v>每目标1次；最多2个；不产生伤害事件</x:v>
      </x:c>
      <x:c r="H101" s="3" t="str">
        <x:v>探险</x:v>
      </x:c>
      <x:c r="I101" s="3" t="str">
        <x:v>装备、探险辅助</x:v>
      </x:c>
      <x:c r="J101" s="3" t="str">
        <x:v>方形</x:v>
      </x:c>
      <x:c r="K101" s="3" t="str">
        <x:v>方形</x:v>
      </x:c>
      <x:c r="L101" s="3" t="str">
        <x:v>Map（触发器!D85）</x:v>
      </x:c>
      <x:c r="M101" s="3" t="str">
        <x:v>首测候选</x:v>
      </x:c>
    </x:row>
    <x:row r="102" ht="30" customHeight="1">
      <x:c r="A102" s="13" t="str">
        <x:v>I097</x:v>
      </x:c>
      <x:c r="B102" s="13" t="str">
        <x:v>钥匙</x:v>
      </x:c>
      <x:c r="C102" s="13" t="str">
        <x:v>普通</x:v>
      </x:c>
      <x:c r="D102" s="14" t="n">
        <x:v>1</x:v>
      </x:c>
      <x:c r="E102" s="13" t="str">
        <x:v>被消耗</x:v>
      </x:c>
      <x:c r="F102" s="13" t="str">
        <x:v>被宝箱消耗时，宝箱+2。</x:v>
      </x:c>
      <x:c r="G102" s="13" t="str">
        <x:v>自身1次</x:v>
      </x:c>
      <x:c r="H102" s="13" t="str">
        <x:v>探险</x:v>
      </x:c>
      <x:c r="I102" s="13" t="str">
        <x:v>探险、消耗材料</x:v>
      </x:c>
      <x:c r="J102" s="13" t="str">
        <x:v>钥匙形</x:v>
      </x:c>
      <x:c r="K102" s="13" t="str">
        <x:v>不规则形</x:v>
      </x:c>
      <x:c r="L102" s="13" t="str">
        <x:v>Treasure Chest（触发器!D61）</x:v>
      </x:c>
      <x:c r="M102" s="13" t="str">
        <x:v>首测候选</x:v>
      </x:c>
    </x:row>
    <x:row r="103" ht="30" customHeight="1">
      <x:c r="A103" s="3" t="str">
        <x:v>I098</x:v>
      </x:c>
      <x:c r="B103" s="3" t="str">
        <x:v>宝箱</x:v>
      </x:c>
      <x:c r="C103" s="3" t="str">
        <x:v>稀有</x:v>
      </x:c>
      <x:c r="D103" s="15" t="n">
        <x:v>2</x:v>
      </x:c>
      <x:c r="E103" s="3" t="str">
        <x:v>接触</x:v>
      </x:c>
      <x:c r="F103" s="3" t="str">
        <x:v>收存2把钥匙后消耗储存和自身，生成1枚宝藏徽记及1颗晶屑。</x:v>
      </x:c>
      <x:c r="G103" s="3" t="str">
        <x:v>每回合1次；路标可减少钥匙需求</x:v>
      </x:c>
      <x:c r="H103" s="3" t="str">
        <x:v>探险</x:v>
      </x:c>
      <x:c r="I103" s="3" t="str">
        <x:v>探险、容器、生产者</x:v>
      </x:c>
      <x:c r="J103" s="3" t="str">
        <x:v>长方形</x:v>
      </x:c>
      <x:c r="K103" s="3" t="str">
        <x:v>长条形</x:v>
      </x:c>
      <x:c r="L103" s="3" t="str">
        <x:v>Treasure Chest（触发器!D61）</x:v>
      </x:c>
      <x:c r="M103" s="3" t="str">
        <x:v>首测候选</x:v>
      </x:c>
    </x:row>
    <x:row r="104" ht="30" customHeight="1">
      <x:c r="A104" s="13" t="str">
        <x:v>I099</x:v>
      </x:c>
      <x:c r="B104" s="13" t="str">
        <x:v>训练木偶</x:v>
      </x:c>
      <x:c r="C104" s="13" t="str">
        <x:v>普通</x:v>
      </x:c>
      <x:c r="D104" s="14" t="n">
        <x:v>3</x:v>
      </x:c>
      <x:c r="E104" s="13" t="str">
        <x:v>受伤及结算加分</x:v>
      </x:c>
      <x:c r="F104" s="13" t="str">
        <x:v>每实际受到1点伤害自己+3；累计3伤害后停止受伤，结算时额外+3。</x:v>
      </x:c>
      <x:c r="G104" s="13" t="str">
        <x:v>最多受3伤害；不被击败消耗</x:v>
      </x:c>
      <x:c r="H104" s="13" t="str">
        <x:v>探险</x:v>
      </x:c>
      <x:c r="I104" s="13" t="str">
        <x:v>探险、可攻击</x:v>
      </x:c>
      <x:c r="J104" s="13" t="str">
        <x:v>人形</x:v>
      </x:c>
      <x:c r="K104" s="13" t="str">
        <x:v>不规则形</x:v>
      </x:c>
      <x:c r="L104" s="13" t="str">
        <x:v>Practice Dummy（触发器!D54）</x:v>
      </x:c>
      <x:c r="M104" s="13" t="str">
        <x:v>首测候选</x:v>
      </x:c>
    </x:row>
    <x:row r="105" ht="30" customHeight="1">
      <x:c r="A105" s="3" t="str">
        <x:v>I100</x:v>
      </x:c>
      <x:c r="B105" s="3" t="str">
        <x:v>守门巨像</x:v>
      </x:c>
      <x:c r="C105" s="3" t="str">
        <x:v>史诗</x:v>
      </x:c>
      <x:c r="D105" s="15" t="n">
        <x:v>4</x:v>
      </x:c>
      <x:c r="E105" s="3" t="str">
        <x:v>受伤</x:v>
      </x:c>
      <x:c r="F105" s="3" t="str">
        <x:v>累计受到4伤害时消耗自身，生成1座奖杯和2枚零钱。</x:v>
      </x:c>
      <x:c r="G105" s="3" t="str">
        <x:v>1次；不按物理冲量计算伤害</x:v>
      </x:c>
      <x:c r="H105" s="3" t="str">
        <x:v>探险</x:v>
      </x:c>
      <x:c r="I105" s="3" t="str">
        <x:v>探险、可攻击、生产者</x:v>
      </x:c>
      <x:c r="J105" s="3" t="str">
        <x:v>宽梯形</x:v>
      </x:c>
      <x:c r="K105" s="3" t="str">
        <x:v>不规则形</x:v>
      </x:c>
      <x:c r="L105" s="3" t="str">
        <x:v>Cave Troll（触发器!D37）；Wyvern（触发器!D66）</x:v>
      </x:c>
      <x:c r="M105" s="3" t="str">
        <x:v>扩展</x:v>
      </x:c>
    </x:row>
    <x:row r="106" ht="38" customHeight="1">
      <x:c r="A106" s="13" t="str">
        <x:v>I101</x:v>
      </x:c>
      <x:c r="B106" s="13" t="str">
        <x:v>洞穴石</x:v>
      </x:c>
      <x:c r="C106" s="13" t="str">
        <x:v>普通</x:v>
      </x:c>
      <x:c r="D106" s="14" t="n">
        <x:v>2</x:v>
      </x:c>
      <x:c r="E106" s="13" t="str">
        <x:v>接触</x:v>
      </x:c>
      <x:c r="F106" s="13" t="str">
        <x:v>给接触的其他物品1层路径标记；若目标已有其他洞穴石给的路径标记，自己+4。</x:v>
      </x:c>
      <x:c r="G106" s="13" t="str">
        <x:v>每目标1次；最多4个；路径上限3</x:v>
      </x:c>
      <x:c r="H106" s="13" t="str">
        <x:v>连锁</x:v>
      </x:c>
      <x:c r="I106" s="13" t="str">
        <x:v>连锁</x:v>
      </x:c>
      <x:c r="J106" s="13" t="str">
        <x:v>拱形</x:v>
      </x:c>
      <x:c r="K106" s="13" t="str">
        <x:v>弧形</x:v>
      </x:c>
      <x:c r="L106" s="13" t="str">
        <x:v>Cave（触发器!D13）</x:v>
      </x:c>
      <x:c r="M106" s="13" t="str">
        <x:v>首测候选</x:v>
      </x:c>
    </x:row>
    <x:row r="107" ht="38" customHeight="1">
      <x:c r="A107" s="3" t="str">
        <x:v>I102</x:v>
      </x:c>
      <x:c r="B107" s="3" t="str">
        <x:v>接力棒</x:v>
      </x:c>
      <x:c r="C107" s="3" t="str">
        <x:v>普通</x:v>
      </x:c>
      <x:c r="D107" s="15" t="n">
        <x:v>1</x:v>
      </x:c>
      <x:c r="E107" s="3" t="str">
        <x:v>接触</x:v>
      </x:c>
      <x:c r="F107" s="3" t="str">
        <x:v>接触带路径标记的物品时，自己+3并获得1层路径标记；之后可向1个尚无路径的物品传递1层。</x:v>
      </x:c>
      <x:c r="G107" s="3" t="str">
        <x:v>接收1次、传出1次</x:v>
      </x:c>
      <x:c r="H107" s="3" t="str">
        <x:v>连锁</x:v>
      </x:c>
      <x:c r="I107" s="3" t="str">
        <x:v>连锁</x:v>
      </x:c>
      <x:c r="J107" s="3" t="str">
        <x:v>长棒形</x:v>
      </x:c>
      <x:c r="K107" s="3" t="str">
        <x:v>长条形</x:v>
      </x:c>
      <x:c r="L107" s="3" t="str">
        <x:v>Cave（触发器!D13）</x:v>
      </x:c>
      <x:c r="M107" s="3" t="str">
        <x:v>首测候选</x:v>
      </x:c>
    </x:row>
    <x:row r="108" ht="38" customHeight="1">
      <x:c r="A108" s="13" t="str">
        <x:v>I103</x:v>
      </x:c>
      <x:c r="B108" s="13" t="str">
        <x:v>多米诺</x:v>
      </x:c>
      <x:c r="C108" s="13" t="str">
        <x:v>优秀</x:v>
      </x:c>
      <x:c r="D108" s="14" t="n">
        <x:v>2</x:v>
      </x:c>
      <x:c r="E108" s="13" t="str">
        <x:v>接触</x:v>
      </x:c>
      <x:c r="F108" s="13" t="str">
        <x:v>首次接触另一个多米诺时，双方各+2；若双方此前均已接触过非连锁物品，双方再各+2。</x:v>
      </x:c>
      <x:c r="G108" s="13" t="str">
        <x:v>每实例每回合参与1次配对</x:v>
      </x:c>
      <x:c r="H108" s="13" t="str">
        <x:v>连锁</x:v>
      </x:c>
      <x:c r="I108" s="13" t="str">
        <x:v>连锁、成簇</x:v>
      </x:c>
      <x:c r="J108" s="13" t="str">
        <x:v>长方形</x:v>
      </x:c>
      <x:c r="K108" s="13" t="str">
        <x:v>长条形</x:v>
      </x:c>
      <x:c r="L108" s="13" t="str">
        <x:v>原创</x:v>
      </x:c>
      <x:c r="M108" s="13" t="str">
        <x:v>扩展</x:v>
      </x:c>
    </x:row>
    <x:row r="109" ht="30" customHeight="1">
      <x:c r="A109" s="3" t="str">
        <x:v>I104</x:v>
      </x:c>
      <x:c r="B109" s="3" t="str">
        <x:v>印章</x:v>
      </x:c>
      <x:c r="C109" s="3" t="str">
        <x:v>普通</x:v>
      </x:c>
      <x:c r="D109" s="15" t="n">
        <x:v>1</x:v>
      </x:c>
      <x:c r="E109" s="3" t="str">
        <x:v>接触</x:v>
      </x:c>
      <x:c r="F109" s="3" t="str">
        <x:v>给接触的非连锁物品邮戳；被盖章物品若已有路径标记，再+3。</x:v>
      </x:c>
      <x:c r="G109" s="3" t="str">
        <x:v>每目标1次；最多4个</x:v>
      </x:c>
      <x:c r="H109" s="3" t="str">
        <x:v>连锁</x:v>
      </x:c>
      <x:c r="I109" s="3" t="str">
        <x:v>连锁、工具</x:v>
      </x:c>
      <x:c r="J109" s="3" t="str">
        <x:v>方柄形</x:v>
      </x:c>
      <x:c r="K109" s="3" t="str">
        <x:v>不规则形</x:v>
      </x:c>
      <x:c r="L109" s="3" t="str">
        <x:v>原创</x:v>
      </x:c>
      <x:c r="M109" s="3" t="str">
        <x:v>首测候选</x:v>
      </x:c>
    </x:row>
    <x:row r="110" ht="30" customHeight="1">
      <x:c r="A110" s="13" t="str">
        <x:v>I105</x:v>
      </x:c>
      <x:c r="B110" s="13" t="str">
        <x:v>邮筒</x:v>
      </x:c>
      <x:c r="C110" s="13" t="str">
        <x:v>优秀</x:v>
      </x:c>
      <x:c r="D110" s="14" t="n">
        <x:v>2</x:v>
      </x:c>
      <x:c r="E110" s="13" t="str">
        <x:v>接触及结算加分</x:v>
      </x:c>
      <x:c r="F110" s="13" t="str">
        <x:v>收存有邮戳的临时产物；结算时每份增加其存入值并再+3。</x:v>
      </x:c>
      <x:c r="G110" s="13" t="str">
        <x:v>容量3</x:v>
      </x:c>
      <x:c r="H110" s="13" t="str">
        <x:v>连锁</x:v>
      </x:c>
      <x:c r="I110" s="13" t="str">
        <x:v>连锁、容器</x:v>
      </x:c>
      <x:c r="J110" s="13" t="str">
        <x:v>圆柱形</x:v>
      </x:c>
      <x:c r="K110" s="13" t="str">
        <x:v>圆形</x:v>
      </x:c>
      <x:c r="L110" s="13" t="str">
        <x:v>Ballmart（触发器!D3）</x:v>
      </x:c>
      <x:c r="M110" s="13" t="str">
        <x:v>扩展</x:v>
      </x:c>
    </x:row>
    <x:row r="111" ht="30" customHeight="1">
      <x:c r="A111" s="3" t="str">
        <x:v>I106</x:v>
      </x:c>
      <x:c r="B111" s="3" t="str">
        <x:v>信封</x:v>
      </x:c>
      <x:c r="C111" s="3" t="str">
        <x:v>普通</x:v>
      </x:c>
      <x:c r="D111" s="15" t="n">
        <x:v>1</x:v>
      </x:c>
      <x:c r="E111" s="3" t="str">
        <x:v>接触</x:v>
      </x:c>
      <x:c r="F111" s="3" t="str">
        <x:v>首次接触有邮戳的物品时，自己和对方各+3，自己获得邮戳。</x:v>
      </x:c>
      <x:c r="G111" s="3" t="str">
        <x:v>每回合1次</x:v>
      </x:c>
      <x:c r="H111" s="3" t="str">
        <x:v>连锁</x:v>
      </x:c>
      <x:c r="I111" s="3" t="str">
        <x:v>连锁、消耗材料</x:v>
      </x:c>
      <x:c r="J111" s="3" t="str">
        <x:v>菱形</x:v>
      </x:c>
      <x:c r="K111" s="3" t="str">
        <x:v>不规则形</x:v>
      </x:c>
      <x:c r="L111" s="3" t="str">
        <x:v>原创</x:v>
      </x:c>
      <x:c r="M111" s="3" t="str">
        <x:v>首测候选</x:v>
      </x:c>
    </x:row>
    <x:row r="112" ht="30" customHeight="1">
      <x:c r="A112" s="13" t="str">
        <x:v>I107</x:v>
      </x:c>
      <x:c r="B112" s="13" t="str">
        <x:v>拼图块</x:v>
      </x:c>
      <x:c r="C112" s="13" t="str">
        <x:v>优秀</x:v>
      </x:c>
      <x:c r="D112" s="14" t="n">
        <x:v>2</x:v>
      </x:c>
      <x:c r="E112" s="13" t="str">
        <x:v>结算加分</x:v>
      </x:c>
      <x:c r="F112" s="13" t="str">
        <x:v>所在拼图接触连通组每有1件其他拼图，自己+3。</x:v>
      </x:c>
      <x:c r="G112" s="13" t="str">
        <x:v>最多计3件</x:v>
      </x:c>
      <x:c r="H112" s="13" t="str">
        <x:v>连锁</x:v>
      </x:c>
      <x:c r="I112" s="13" t="str">
        <x:v>连锁、成簇</x:v>
      </x:c>
      <x:c r="J112" s="13" t="str">
        <x:v>凹凸方形</x:v>
      </x:c>
      <x:c r="K112" s="13" t="str">
        <x:v>不规则形</x:v>
      </x:c>
      <x:c r="L112" s="13" t="str">
        <x:v>Clover（触发器!D40）；Cairn（触发器!D34）</x:v>
      </x:c>
      <x:c r="M112" s="13" t="str">
        <x:v>扩展</x:v>
      </x:c>
    </x:row>
    <x:row r="113" ht="30" customHeight="1">
      <x:c r="A113" s="3" t="str">
        <x:v>I108</x:v>
      </x:c>
      <x:c r="B113" s="3" t="str">
        <x:v>榫卯块</x:v>
      </x:c>
      <x:c r="C113" s="3" t="str">
        <x:v>优秀</x:v>
      </x:c>
      <x:c r="D113" s="15" t="n">
        <x:v>2</x:v>
      </x:c>
      <x:c r="E113" s="3" t="str">
        <x:v>结算加分</x:v>
      </x:c>
      <x:c r="F113" s="3" t="str">
        <x:v>同时接触圆形和方形物品时，这些目标各+4。</x:v>
      </x:c>
      <x:c r="G113" s="3" t="str">
        <x:v>最多影响4件；形状取本表标准类别</x:v>
      </x:c>
      <x:c r="H113" s="3" t="str">
        <x:v>连锁</x:v>
      </x:c>
      <x:c r="I113" s="3" t="str">
        <x:v>连锁、辅助</x:v>
      </x:c>
      <x:c r="J113" s="3" t="str">
        <x:v>凹字形</x:v>
      </x:c>
      <x:c r="K113" s="3" t="str">
        <x:v>凹槽形</x:v>
      </x:c>
      <x:c r="L113" s="3" t="str">
        <x:v>原创</x:v>
      </x:c>
      <x:c r="M113" s="3" t="str">
        <x:v>扩展</x:v>
      </x:c>
    </x:row>
    <x:row r="114" ht="30" customHeight="1">
      <x:c r="A114" s="13" t="str">
        <x:v>I109</x:v>
      </x:c>
      <x:c r="B114" s="13" t="str">
        <x:v>星图</x:v>
      </x:c>
      <x:c r="C114" s="13" t="str">
        <x:v>稀有</x:v>
      </x:c>
      <x:c r="D114" s="14" t="n">
        <x:v>2</x:v>
      </x:c>
      <x:c r="E114" s="13" t="str">
        <x:v>结算倍率</x:v>
      </x:c>
      <x:c r="F114" s="13" t="str">
        <x:v>带至少2层路径标记的存活物品，各获得+50%倍率。</x:v>
      </x:c>
      <x:c r="G114" s="13" t="str">
        <x:v>最多影响4件，按冻结值从高到低</x:v>
      </x:c>
      <x:c r="H114" s="13" t="str">
        <x:v>连锁</x:v>
      </x:c>
      <x:c r="I114" s="13" t="str">
        <x:v>连锁、结算核心</x:v>
      </x:c>
      <x:c r="J114" s="13" t="str">
        <x:v>星形</x:v>
      </x:c>
      <x:c r="K114" s="13" t="str">
        <x:v>不规则形</x:v>
      </x:c>
      <x:c r="L114" s="13" t="str">
        <x:v>Cave（触发器!D13）</x:v>
      </x:c>
      <x:c r="M114" s="13" t="str">
        <x:v>首测候选</x:v>
      </x:c>
    </x:row>
    <x:row r="115" ht="38" customHeight="1">
      <x:c r="A115" s="3" t="str">
        <x:v>I110</x:v>
      </x:c>
      <x:c r="B115" s="3" t="str">
        <x:v>连锁终端</x:v>
      </x:c>
      <x:c r="C115" s="3" t="str">
        <x:v>史诗</x:v>
      </x:c>
      <x:c r="D115" s="15" t="n">
        <x:v>2</x:v>
      </x:c>
      <x:c r="E115" s="3" t="str">
        <x:v>接触</x:v>
      </x:c>
      <x:c r="F115" s="3" t="str">
        <x:v>消耗1件带至少2层路径标记的非容器物品，记分等于其当前值×3。</x:v>
      </x:c>
      <x:c r="G115" s="3" t="str">
        <x:v>每回合最多2件</x:v>
      </x:c>
      <x:c r="H115" s="3" t="str">
        <x:v>连锁</x:v>
      </x:c>
      <x:c r="I115" s="3" t="str">
        <x:v>连锁、消费者</x:v>
      </x:c>
      <x:c r="J115" s="3" t="str">
        <x:v>六边形</x:v>
      </x:c>
      <x:c r="K115" s="3" t="str">
        <x:v>不规则形</x:v>
      </x:c>
      <x:c r="L115" s="3" t="str">
        <x:v>Cave（触发器!D13）；Mysterious Megalith（触发器!D116）</x:v>
      </x:c>
      <x:c r="M115" s="3" t="str">
        <x:v>扩展</x:v>
      </x:c>
    </x:row>
    <x:row r="116" ht="30" customHeight="1">
      <x:c r="A116" s="13" t="str">
        <x:v>I111</x:v>
      </x:c>
      <x:c r="B116" s="13" t="str">
        <x:v>秒表</x:v>
      </x:c>
      <x:c r="C116" s="13" t="str">
        <x:v>普通</x:v>
      </x:c>
      <x:c r="D116" s="14" t="n">
        <x:v>1</x:v>
      </x:c>
      <x:c r="E116" s="13" t="str">
        <x:v>接触</x:v>
      </x:c>
      <x:c r="F116" s="13" t="str">
        <x:v>第一次接触其他物品时，自己增加已经过去的整秒数。</x:v>
      </x:c>
      <x:c r="G116" s="13" t="str">
        <x:v>仅首次接触；最多+9；无需速度判定</x:v>
      </x:c>
      <x:c r="H116" s="13" t="str">
        <x:v>结算</x:v>
      </x:c>
      <x:c r="I116" s="13" t="str">
        <x:v>结算、计时</x:v>
      </x:c>
      <x:c r="J116" s="13" t="str">
        <x:v>圆形</x:v>
      </x:c>
      <x:c r="K116" s="13" t="str">
        <x:v>圆形</x:v>
      </x:c>
      <x:c r="L116" s="13" t="str">
        <x:v>Stopwatch（触发器!D25）</x:v>
      </x:c>
      <x:c r="M116" s="13" t="str">
        <x:v>扩展</x:v>
      </x:c>
    </x:row>
    <x:row r="117" ht="38" customHeight="1">
      <x:c r="A117" s="3" t="str">
        <x:v>I112</x:v>
      </x:c>
      <x:c r="B117" s="3" t="str">
        <x:v>沙漏</x:v>
      </x:c>
      <x:c r="C117" s="3" t="str">
        <x:v>优秀</x:v>
      </x:c>
      <x:c r="D117" s="15" t="n">
        <x:v>2</x:v>
      </x:c>
      <x:c r="E117" s="3" t="str">
        <x:v>结算末</x:v>
      </x:c>
      <x:c r="F117" s="3" t="str">
        <x:v>相接触的成长物品，本回合已触发自身永久成长时，再永久基础分+1。</x:v>
      </x:c>
      <x:c r="G117" s="3" t="str">
        <x:v>每回合最多2件；每目标来自沙漏永久累计+5封顶</x:v>
      </x:c>
      <x:c r="H117" s="3" t="str">
        <x:v>结算</x:v>
      </x:c>
      <x:c r="I117" s="3" t="str">
        <x:v>结算、成长辅助</x:v>
      </x:c>
      <x:c r="J117" s="3" t="str">
        <x:v>沙漏形</x:v>
      </x:c>
      <x:c r="K117" s="3" t="str">
        <x:v>不规则形</x:v>
      </x:c>
      <x:c r="L117" s="3" t="str">
        <x:v>Hourglass（增益!D39）</x:v>
      </x:c>
      <x:c r="M117" s="3" t="str">
        <x:v>首测候选</x:v>
      </x:c>
    </x:row>
    <x:row r="118" ht="30" customHeight="1">
      <x:c r="A118" s="13" t="str">
        <x:v>I113</x:v>
      </x:c>
      <x:c r="B118" s="13" t="str">
        <x:v>老树桩</x:v>
      </x:c>
      <x:c r="C118" s="13" t="str">
        <x:v>普通</x:v>
      </x:c>
      <x:c r="D118" s="14" t="n">
        <x:v>1</x:v>
      </x:c>
      <x:c r="E118" s="13" t="str">
        <x:v>结算末</x:v>
      </x:c>
      <x:c r="F118" s="13" t="str">
        <x:v>若本回合被抽中且存活，自身永久基础分+1。</x:v>
      </x:c>
      <x:c r="G118" s="13" t="str">
        <x:v>永久累计+8封顶</x:v>
      </x:c>
      <x:c r="H118" s="13" t="str">
        <x:v>结算</x:v>
      </x:c>
      <x:c r="I118" s="13" t="str">
        <x:v>植物、成长</x:v>
      </x:c>
      <x:c r="J118" s="13" t="str">
        <x:v>圆柱形</x:v>
      </x:c>
      <x:c r="K118" s="13" t="str">
        <x:v>圆形</x:v>
      </x:c>
      <x:c r="L118" s="13" t="str">
        <x:v>Tree（触发器!D28）</x:v>
      </x:c>
      <x:c r="M118" s="13" t="str">
        <x:v>首测候选</x:v>
      </x:c>
    </x:row>
    <x:row r="119" ht="30" customHeight="1">
      <x:c r="A119" s="3" t="str">
        <x:v>I114</x:v>
      </x:c>
      <x:c r="B119" s="3" t="str">
        <x:v>年轮盘</x:v>
      </x:c>
      <x:c r="C119" s="3" t="str">
        <x:v>优秀</x:v>
      </x:c>
      <x:c r="D119" s="15" t="n">
        <x:v>2</x:v>
      </x:c>
      <x:c r="E119" s="3" t="str">
        <x:v>结算加分</x:v>
      </x:c>
      <x:c r="F119" s="3" t="str">
        <x:v>相接触的成长物品每有1件永久基础分至少6，自己+4。</x:v>
      </x:c>
      <x:c r="G119" s="3" t="str">
        <x:v>最多计3件</x:v>
      </x:c>
      <x:c r="H119" s="3" t="str">
        <x:v>结算</x:v>
      </x:c>
      <x:c r="I119" s="3" t="str">
        <x:v>结算、成长辅助</x:v>
      </x:c>
      <x:c r="J119" s="3" t="str">
        <x:v>圆形</x:v>
      </x:c>
      <x:c r="K119" s="3" t="str">
        <x:v>圆形</x:v>
      </x:c>
      <x:c r="L119" s="3" t="str">
        <x:v>Empyrean Egg（触发器!D110）</x:v>
      </x:c>
      <x:c r="M119" s="3" t="str">
        <x:v>扩展</x:v>
      </x:c>
    </x:row>
    <x:row r="120" ht="30" customHeight="1">
      <x:c r="A120" s="13" t="str">
        <x:v>I115</x:v>
      </x:c>
      <x:c r="B120" s="13" t="str">
        <x:v>时光胶囊</x:v>
      </x:c>
      <x:c r="C120" s="13" t="str">
        <x:v>稀有</x:v>
      </x:c>
      <x:c r="D120" s="14" t="n">
        <x:v>1</x:v>
      </x:c>
      <x:c r="E120" s="13" t="str">
        <x:v>结算末</x:v>
      </x:c>
      <x:c r="F120" s="13" t="str">
        <x:v>存活结算后永久记录1次出场；第3次时永久转化为古物奖章。</x:v>
      </x:c>
      <x:c r="G120" s="13" t="str">
        <x:v>转化1次；新物品从下回合可抽到</x:v>
      </x:c>
      <x:c r="H120" s="13" t="str">
        <x:v>结算</x:v>
      </x:c>
      <x:c r="I120" s="13" t="str">
        <x:v>结算、成长</x:v>
      </x:c>
      <x:c r="J120" s="13" t="str">
        <x:v>胶囊形</x:v>
      </x:c>
      <x:c r="K120" s="13" t="str">
        <x:v>长条形</x:v>
      </x:c>
      <x:c r="L120" s="13" t="str">
        <x:v>Time Capsule（触发器!D98）</x:v>
      </x:c>
      <x:c r="M120" s="13" t="str">
        <x:v>扩展</x:v>
      </x:c>
    </x:row>
    <x:row r="121" ht="38" customHeight="1">
      <x:c r="A121" s="3" t="str">
        <x:v>I116</x:v>
      </x:c>
      <x:c r="B121" s="3" t="str">
        <x:v>放大镜</x:v>
      </x:c>
      <x:c r="C121" s="3" t="str">
        <x:v>稀有</x:v>
      </x:c>
      <x:c r="D121" s="15" t="n">
        <x:v>2</x:v>
      </x:c>
      <x:c r="E121" s="3" t="str">
        <x:v>结算倍率</x:v>
      </x:c>
      <x:c r="F121" s="3" t="str">
        <x:v>相接触的非工具物品中，冻结值最高者获得+100%倍率；仅当它冻结值至少8时生效。</x:v>
      </x:c>
      <x:c r="G121" s="3" t="str">
        <x:v>1个目标</x:v>
      </x:c>
      <x:c r="H121" s="3" t="str">
        <x:v>结算</x:v>
      </x:c>
      <x:c r="I121" s="3" t="str">
        <x:v>结算、工具</x:v>
      </x:c>
      <x:c r="J121" s="3" t="str">
        <x:v>圆柄形</x:v>
      </x:c>
      <x:c r="K121" s="3" t="str">
        <x:v>不规则形</x:v>
      </x:c>
      <x:c r="L121" s="3" t="str">
        <x:v>Compass（触发器!D73）</x:v>
      </x:c>
      <x:c r="M121" s="3" t="str">
        <x:v>首测候选</x:v>
      </x:c>
    </x:row>
    <x:row r="122" ht="30" customHeight="1">
      <x:c r="A122" s="13" t="str">
        <x:v>I117</x:v>
      </x:c>
      <x:c r="B122" s="13" t="str">
        <x:v>指挥旗</x:v>
      </x:c>
      <x:c r="C122" s="13" t="str">
        <x:v>优秀</x:v>
      </x:c>
      <x:c r="D122" s="14" t="n">
        <x:v>2</x:v>
      </x:c>
      <x:c r="E122" s="13" t="str">
        <x:v>结算加分</x:v>
      </x:c>
      <x:c r="F122" s="13" t="str">
        <x:v>相接触的物品中，冻结值最低的2件各+4。</x:v>
      </x:c>
      <x:c r="G122" s="13" t="str">
        <x:v>最多2件</x:v>
      </x:c>
      <x:c r="H122" s="13" t="str">
        <x:v>结算</x:v>
      </x:c>
      <x:c r="I122" s="13" t="str">
        <x:v>结算、辅助</x:v>
      </x:c>
      <x:c r="J122" s="13" t="str">
        <x:v>三角形</x:v>
      </x:c>
      <x:c r="K122" s="13" t="str">
        <x:v>三角形</x:v>
      </x:c>
      <x:c r="L122" s="13" t="str">
        <x:v>原创</x:v>
      </x:c>
      <x:c r="M122" s="13" t="str">
        <x:v>首测候选</x:v>
      </x:c>
    </x:row>
    <x:row r="123" ht="38" customHeight="1">
      <x:c r="A123" s="3" t="str">
        <x:v>I118</x:v>
      </x:c>
      <x:c r="B123" s="3" t="str">
        <x:v>平衡秤</x:v>
      </x:c>
      <x:c r="C123" s="3" t="str">
        <x:v>稀有</x:v>
      </x:c>
      <x:c r="D123" s="15" t="n">
        <x:v>2</x:v>
      </x:c>
      <x:c r="E123" s="3" t="str">
        <x:v>结算加分</x:v>
      </x:c>
      <x:c r="F123" s="3" t="str">
        <x:v>选相接触物品中冻结值最高和最低各1件；最低者增加两者差值的一半，向下取整。</x:v>
      </x:c>
      <x:c r="G123" s="3" t="str">
        <x:v>需2个不同目标；不扣高分者</x:v>
      </x:c>
      <x:c r="H123" s="3" t="str">
        <x:v>结算</x:v>
      </x:c>
      <x:c r="I123" s="3" t="str">
        <x:v>结算、工具</x:v>
      </x:c>
      <x:c r="J123" s="3" t="str">
        <x:v>丁字形</x:v>
      </x:c>
      <x:c r="K123" s="3" t="str">
        <x:v>不规则形</x:v>
      </x:c>
      <x:c r="L123" s="3" t="str">
        <x:v>Blender（增益!D35）</x:v>
      </x:c>
      <x:c r="M123" s="3" t="str">
        <x:v>首测候选</x:v>
      </x:c>
    </x:row>
    <x:row r="124" ht="30" customHeight="1">
      <x:c r="A124" s="13" t="str">
        <x:v>I119</x:v>
      </x:c>
      <x:c r="B124" s="13" t="str">
        <x:v>吊床</x:v>
      </x:c>
      <x:c r="C124" s="13" t="str">
        <x:v>普通</x:v>
      </x:c>
      <x:c r="D124" s="14" t="n">
        <x:v>3</x:v>
      </x:c>
      <x:c r="E124" s="13" t="str">
        <x:v>结算加分</x:v>
      </x:c>
      <x:c r="F124" s="13" t="str">
        <x:v>本回合仅接触过不超过2个其他实例时，自己+6；若冻结时接触植物，再+3。</x:v>
      </x:c>
      <x:c r="G124" s="13" t="str">
        <x:v>每回合1次</x:v>
      </x:c>
      <x:c r="H124" s="13" t="str">
        <x:v>结算</x:v>
      </x:c>
      <x:c r="I124" s="13" t="str">
        <x:v>结算、独处</x:v>
      </x:c>
      <x:c r="J124" s="13" t="str">
        <x:v>月牙形</x:v>
      </x:c>
      <x:c r="K124" s="13" t="str">
        <x:v>弧形</x:v>
      </x:c>
      <x:c r="L124" s="13" t="str">
        <x:v>Hammock（触发器!D15）</x:v>
      </x:c>
      <x:c r="M124" s="13" t="str">
        <x:v>扩展</x:v>
      </x:c>
    </x:row>
    <x:row r="125" ht="38" customHeight="1">
      <x:c r="A125" s="3" t="str">
        <x:v>I120</x:v>
      </x:c>
      <x:c r="B125" s="3" t="str">
        <x:v>桂冠</x:v>
      </x:c>
      <x:c r="C125" s="3" t="str">
        <x:v>史诗</x:v>
      </x:c>
      <x:c r="D125" s="15" t="n">
        <x:v>3</x:v>
      </x:c>
      <x:c r="E125" s="3" t="str">
        <x:v>结算倍率</x:v>
      </x:c>
      <x:c r="F125" s="3" t="str">
        <x:v>场上冻结值最高且唯一最高的物品获得+100%倍率；若它永久基础分至少10，再获得+50%。</x:v>
      </x:c>
      <x:c r="G125" s="3" t="str">
        <x:v>1个目标；并列最高则不生效</x:v>
      </x:c>
      <x:c r="H125" s="3" t="str">
        <x:v>结算</x:v>
      </x:c>
      <x:c r="I125" s="3" t="str">
        <x:v>结算、核心</x:v>
      </x:c>
      <x:c r="J125" s="3" t="str">
        <x:v>环形</x:v>
      </x:c>
      <x:c r="K125" s="3" t="str">
        <x:v>凹槽形</x:v>
      </x:c>
      <x:c r="L125" s="3" t="str">
        <x:v>Compass（触发器!D73）；Rainbow（触发器!D90）</x:v>
      </x:c>
      <x:c r="M125" s="3" t="str">
        <x:v>扩展</x:v>
      </x:c>
    </x:row>
  </x:sheetData>
  <x:conditionalFormatting sqref="C6:C125">
    <x:cfRule type="containsText" dxfId="0" priority="1" operator="containsText" text="稀有"/>
    <x:cfRule type="containsText" dxfId="1" priority="2" operator="containsText" text="史诗"/>
    <x:cfRule type="containsText" dxfId="2" priority="3" operator="containsText" text="优秀"/>
  </x:conditionalFormatting>
  <x:pageMargins left="0.7" right="0.7" top="0.75" bottom="0.75" header="0.3" footer="0.3"/>
  <x:tableParts count="1">
    <x:tablePart xmlns:r="http://schemas.openxmlformats.org/officeDocument/2006/relationships" r:id="Rcb03858e6a9642ee"/>
  </x:tableParts>
</x:worksheet>
</file>

<file path=xl/worksheets/sheet2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9" hidden="0" customWidth="1"/>
    <x:col min="3" max="3" width="9" hidden="0" customWidth="1"/>
    <x:col min="4" max="4" width="18" hidden="0" customWidth="1"/>
    <x:col min="5" max="5" width="68" hidden="0" customWidth="1"/>
    <x:col min="6" max="6" width="40" hidden="0" customWidth="1"/>
    <x:col min="7" max="7" width="11" hidden="0" customWidth="1"/>
    <x:col min="8" max="8" width="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>
      <x:c r="A2" s="6" t="str">
        <x:v>遗物设计</x:v>
      </x:c>
      <x:c r="B2" s="7"/>
      <x:c r="C2" s="7"/>
      <x:c r="D2" s="7"/>
      <x:c r="E2" s="7"/>
      <x:c r="F2" s="7"/>
      <x:c r="G2" s="7"/>
      <x:c r="H2" s="7"/>
    </x:row>
    <x:row r="3">
      <x:c r="A3" s="8" t="str">
        <x:v>80件遗物；每5回合通过三选一获取。遗物在瓶外生效。</x:v>
      </x:c>
      <x:c r="B3" s="7"/>
      <x:c r="C3" s="7"/>
      <x:c r="D3" s="7"/>
      <x:c r="E3" s="7"/>
      <x:c r="F3" s="7"/>
      <x:c r="G3" s="7"/>
      <x:c r="H3" s="7"/>
    </x:row>
    <x:row r="4">
      <x:c r="A4" s="9"/>
      <x:c r="B4" s="9"/>
      <x:c r="C4" s="9"/>
      <x:c r="D4" s="9"/>
      <x:c r="E4" s="9"/>
      <x:c r="F4" s="9"/>
      <x:c r="G4" s="9"/>
      <x:c r="H4" s="9"/>
    </x:row>
    <x:row r="5" ht="30" customHeight="1">
      <x:c r="A5" s="12" t="str">
        <x:v>ID</x:v>
      </x:c>
      <x:c r="B5" s="12" t="str">
        <x:v>名称</x:v>
      </x:c>
      <x:c r="C5" s="12" t="str">
        <x:v>品质</x:v>
      </x:c>
      <x:c r="D5" s="12" t="str">
        <x:v>触发时机</x:v>
      </x:c>
      <x:c r="E5" s="12" t="str">
        <x:v>效果</x:v>
      </x:c>
      <x:c r="F5" s="12" t="str">
        <x:v>次数与边界</x:v>
      </x:c>
      <x:c r="G5" s="12" t="str">
        <x:v>主流派</x:v>
      </x:c>
      <x:c r="H5" s="12" t="str">
        <x:v>原表参考</x:v>
      </x:c>
    </x:row>
    <x:row r="6" ht="30" customHeight="1">
      <x:c r="A6" s="13" t="str">
        <x:v>R001</x:v>
      </x:c>
      <x:c r="B6" s="13" t="str">
        <x:v>家常菜谱</x:v>
      </x:c>
      <x:c r="C6" s="13" t="str">
        <x:v>普通</x:v>
      </x:c>
      <x:c r="D6" s="13" t="str">
        <x:v>结算加分</x:v>
      </x:c>
      <x:c r="E6" s="13" t="str">
        <x:v>本回合被烹饪物品增值过的存活食物，各+2。</x:v>
      </x:c>
      <x:c r="F6" s="13" t="str">
        <x:v>每件1次</x:v>
      </x:c>
      <x:c r="G6" s="13" t="str">
        <x:v>烹饪</x:v>
      </x:c>
      <x:c r="H6" s="13" t="str">
        <x:v>Fanny Pack（增益!D13）</x:v>
      </x:c>
    </x:row>
    <x:row r="7" ht="30" customHeight="1">
      <x:c r="A7" s="3" t="str">
        <x:v>R002</x:v>
      </x:c>
      <x:c r="B7" s="3" t="str">
        <x:v>双份调味</x:v>
      </x:c>
      <x:c r="C7" s="3" t="str">
        <x:v>优秀</x:v>
      </x:c>
      <x:c r="D7" s="3" t="str">
        <x:v>接触增值</x:v>
      </x:c>
      <x:c r="E7" s="3" t="str">
        <x:v>烹饪物品对食物的固定数值加分额外+1；只增强原加分，不产生新事件。</x:v>
      </x:c>
      <x:c r="F7" s="3" t="str">
        <x:v>每目标每回合最多获益3次</x:v>
      </x:c>
      <x:c r="G7" s="3" t="str">
        <x:v>烹饪</x:v>
      </x:c>
      <x:c r="H7" s="3" t="str">
        <x:v>Donut（增益!D8）</x:v>
      </x:c>
    </x:row>
    <x:row r="8" ht="30" customHeight="1">
      <x:c r="A8" s="13" t="str">
        <x:v>R003</x:v>
      </x:c>
      <x:c r="B8" s="13" t="str">
        <x:v>餐后点心</x:v>
      </x:c>
      <x:c r="C8" s="13" t="str">
        <x:v>优秀</x:v>
      </x:c>
      <x:c r="D8" s="13" t="str">
        <x:v>消耗事件</x:v>
      </x:c>
      <x:c r="E8" s="13" t="str">
        <x:v>食物被烹饪物品消耗时生成1份饼干屑。</x:v>
      </x:c>
      <x:c r="F8" s="13" t="str">
        <x:v>每回合3次；饼干屑不触发此遗物</x:v>
      </x:c>
      <x:c r="G8" s="13" t="str">
        <x:v>烹饪</x:v>
      </x:c>
      <x:c r="H8" s="13" t="str">
        <x:v>Douter（增益!D9）</x:v>
      </x:c>
    </x:row>
    <x:row r="9" ht="30" customHeight="1">
      <x:c r="A9" s="3" t="str">
        <x:v>R004</x:v>
      </x:c>
      <x:c r="B9" s="3" t="str">
        <x:v>主厨勋章</x:v>
      </x:c>
      <x:c r="C9" s="3" t="str">
        <x:v>稀有</x:v>
      </x:c>
      <x:c r="D9" s="3" t="str">
        <x:v>结算倍率</x:v>
      </x:c>
      <x:c r="E9" s="3" t="str">
        <x:v>本回合完成至少2次烹饪生产时，餐食获得+50%倍率。</x:v>
      </x:c>
      <x:c r="F9" s="3" t="str">
        <x:v>每回合1次</x:v>
      </x:c>
      <x:c r="G9" s="3" t="str">
        <x:v>烹饪</x:v>
      </x:c>
      <x:c r="H9" s="3" t="str">
        <x:v>Ginger（增益!D37）</x:v>
      </x:c>
    </x:row>
    <x:row r="10" ht="30" customHeight="1">
      <x:c r="A10" s="13" t="str">
        <x:v>R005</x:v>
      </x:c>
      <x:c r="B10" s="13" t="str">
        <x:v>百味宴席</x:v>
      </x:c>
      <x:c r="C10" s="13" t="str">
        <x:v>史诗</x:v>
      </x:c>
      <x:c r="D10" s="13" t="str">
        <x:v>结算加分</x:v>
      </x:c>
      <x:c r="E10" s="13" t="str">
        <x:v>本回合生成过至少4种不同食物时，每个存活烹饪物品+10。</x:v>
      </x:c>
      <x:c r="F10" s="13" t="str">
        <x:v>每回合1次</x:v>
      </x:c>
      <x:c r="G10" s="13" t="str">
        <x:v>烹饪</x:v>
      </x:c>
      <x:c r="H10" s="13" t="str">
        <x:v>Plate（触发器!D89）</x:v>
      </x:c>
    </x:row>
    <x:row r="11" ht="30" customHeight="1">
      <x:c r="A11" s="3" t="str">
        <x:v>R006</x:v>
      </x:c>
      <x:c r="B11" s="3" t="str">
        <x:v>园艺手套</x:v>
      </x:c>
      <x:c r="C11" s="3" t="str">
        <x:v>普通</x:v>
      </x:c>
      <x:c r="D11" s="3" t="str">
        <x:v>接触增值</x:v>
      </x:c>
      <x:c r="E11" s="3" t="str">
        <x:v>植物通过接触或消耗水元素使自身增值时，该植物额外+1。</x:v>
      </x:c>
      <x:c r="F11" s="3" t="str">
        <x:v>每植物最多3次</x:v>
      </x:c>
      <x:c r="G11" s="3" t="str">
        <x:v>种植</x:v>
      </x:c>
      <x:c r="H11" s="3" t="str">
        <x:v>Pumpkin（触发器!D22）</x:v>
      </x:c>
    </x:row>
    <x:row r="12" ht="30" customHeight="1">
      <x:c r="A12" s="13" t="str">
        <x:v>R007</x:v>
      </x:c>
      <x:c r="B12" s="13" t="str">
        <x:v>授粉手册</x:v>
      </x:c>
      <x:c r="C12" s="13" t="str">
        <x:v>优秀</x:v>
      </x:c>
      <x:c r="D12" s="13" t="str">
        <x:v>接触</x:v>
      </x:c>
      <x:c r="E12" s="13" t="str">
        <x:v>蜜蜂或彩翼蝶成功增值植物时生成1份花粉。</x:v>
      </x:c>
      <x:c r="F12" s="13" t="str">
        <x:v>每回合3份；每植物1份</x:v>
      </x:c>
      <x:c r="G12" s="13" t="str">
        <x:v>种植</x:v>
      </x:c>
      <x:c r="H12" s="13" t="str">
        <x:v>原创</x:v>
      </x:c>
    </x:row>
    <x:row r="13" ht="30" customHeight="1">
      <x:c r="A13" s="3" t="str">
        <x:v>R008</x:v>
      </x:c>
      <x:c r="B13" s="3" t="str">
        <x:v>雨水桶</x:v>
      </x:c>
      <x:c r="C13" s="3" t="str">
        <x:v>优秀</x:v>
      </x:c>
      <x:c r="D13" s="3" t="str">
        <x:v>生产事件</x:v>
      </x:c>
      <x:c r="E13" s="3" t="str">
        <x:v>本回合前2次正常生产水珠时，额外生成1颗水珠。</x:v>
      </x:c>
      <x:c r="F13" s="3" t="str">
        <x:v>总共2颗；追加生产不触发追加</x:v>
      </x:c>
      <x:c r="G13" s="3" t="str">
        <x:v>种植</x:v>
      </x:c>
      <x:c r="H13" s="3" t="str">
        <x:v>Waterfall（增益!D55）</x:v>
      </x:c>
    </x:row>
    <x:row r="14" ht="30" customHeight="1">
      <x:c r="A14" s="13" t="str">
        <x:v>R009</x:v>
      </x:c>
      <x:c r="B14" s="13" t="str">
        <x:v>连根相生</x:v>
      </x:c>
      <x:c r="C14" s="13" t="str">
        <x:v>稀有</x:v>
      </x:c>
      <x:c r="D14" s="13" t="str">
        <x:v>结算加分</x:v>
      </x:c>
      <x:c r="E14" s="13" t="str">
        <x:v>植物接触连通组含至少4件时，每件植物+4。</x:v>
      </x:c>
      <x:c r="F14" s="13" t="str">
        <x:v>每组各结算1次</x:v>
      </x:c>
      <x:c r="G14" s="13" t="str">
        <x:v>种植</x:v>
      </x:c>
      <x:c r="H14" s="13" t="str">
        <x:v>Clover（触发器!D40）</x:v>
      </x:c>
    </x:row>
    <x:row r="15" ht="38" customHeight="1">
      <x:c r="A15" s="3" t="str">
        <x:v>R010</x:v>
      </x:c>
      <x:c r="B15" s="3" t="str">
        <x:v>丰收日历</x:v>
      </x:c>
      <x:c r="C15" s="3" t="str">
        <x:v>史诗</x:v>
      </x:c>
      <x:c r="D15" s="3" t="str">
        <x:v>结算末</x:v>
      </x:c>
      <x:c r="E15" s="3" t="str">
        <x:v>本回合至少有3件不同植物存活时，其中永久基础分最低的1件成长植物，永久基础分+1。</x:v>
      </x:c>
      <x:c r="F15" s="3" t="str">
        <x:v>每回合1次；每实例来自此遗物累计+5封顶</x:v>
      </x:c>
      <x:c r="G15" s="3" t="str">
        <x:v>种植</x:v>
      </x:c>
      <x:c r="H15" s="3" t="str">
        <x:v>Gross Michel（增益!D51）</x:v>
      </x:c>
    </x:row>
    <x:row r="16" ht="30" customHeight="1">
      <x:c r="A16" s="13" t="str">
        <x:v>R011</x:v>
      </x:c>
      <x:c r="B16" s="13" t="str">
        <x:v>加厚草垫</x:v>
      </x:c>
      <x:c r="C16" s="13" t="str">
        <x:v>普通</x:v>
      </x:c>
      <x:c r="D16" s="13" t="str">
        <x:v>结算加分</x:v>
      </x:c>
      <x:c r="E16" s="13" t="str">
        <x:v>冻结时接触至少1个其他动物的动物，各+2。</x:v>
      </x:c>
      <x:c r="F16" s="13" t="str">
        <x:v>每件1次</x:v>
      </x:c>
      <x:c r="G16" s="13" t="str">
        <x:v>牧场</x:v>
      </x:c>
      <x:c r="H16" s="13" t="str">
        <x:v>原创</x:v>
      </x:c>
    </x:row>
    <x:row r="17" ht="30" customHeight="1">
      <x:c r="A17" s="3" t="str">
        <x:v>R012</x:v>
      </x:c>
      <x:c r="B17" s="3" t="str">
        <x:v>双黄蛋谱</x:v>
      </x:c>
      <x:c r="C17" s="3" t="str">
        <x:v>优秀</x:v>
      </x:c>
      <x:c r="D17" s="3" t="str">
        <x:v>生产事件</x:v>
      </x:c>
      <x:c r="E17" s="3" t="str">
        <x:v>每回合第一颗正常生成的蛋替换为双黄蛋。</x:v>
      </x:c>
      <x:c r="F17" s="3" t="str">
        <x:v>1次；属于替换，不额外计一次生产</x:v>
      </x:c>
      <x:c r="G17" s="3" t="str">
        <x:v>牧场</x:v>
      </x:c>
      <x:c r="H17" s="3" t="str">
        <x:v>Chicken（触发器!D71）</x:v>
      </x:c>
    </x:row>
    <x:row r="18" ht="30" customHeight="1">
      <x:c r="A18" s="13" t="str">
        <x:v>R013</x:v>
      </x:c>
      <x:c r="B18" s="13" t="str">
        <x:v>牧场铃铛</x:v>
      </x:c>
      <x:c r="C18" s="13" t="str">
        <x:v>优秀</x:v>
      </x:c>
      <x:c r="D18" s="13" t="str">
        <x:v>动物生产</x:v>
      </x:c>
      <x:c r="E18" s="13" t="str">
        <x:v>动物成功生产后，其当前接触的其他动物各+1。</x:v>
      </x:c>
      <x:c r="F18" s="13" t="str">
        <x:v>每次最多3件；每回合最多6次生产事件</x:v>
      </x:c>
      <x:c r="G18" s="13" t="str">
        <x:v>牧场</x:v>
      </x:c>
      <x:c r="H18" s="13" t="str">
        <x:v>Donut（增益!D8）</x:v>
      </x:c>
    </x:row>
    <x:row r="19" ht="30" customHeight="1">
      <x:c r="A19" s="3" t="str">
        <x:v>R014</x:v>
      </x:c>
      <x:c r="B19" s="3" t="str">
        <x:v>营养饲料</x:v>
      </x:c>
      <x:c r="C19" s="3" t="str">
        <x:v>稀有</x:v>
      </x:c>
      <x:c r="D19" s="3" t="str">
        <x:v>消耗事件</x:v>
      </x:c>
      <x:c r="E19" s="3" t="str">
        <x:v>动物消耗谷物时，该动物额外+4。</x:v>
      </x:c>
      <x:c r="F19" s="3" t="str">
        <x:v>每动物最多2次</x:v>
      </x:c>
      <x:c r="G19" s="3" t="str">
        <x:v>牧场</x:v>
      </x:c>
      <x:c r="H19" s="3" t="str">
        <x:v>Fanny Pack（增益!D13）</x:v>
      </x:c>
    </x:row>
    <x:row r="20" ht="30" customHeight="1">
      <x:c r="A20" s="13" t="str">
        <x:v>R015</x:v>
      </x:c>
      <x:c r="B20" s="13" t="str">
        <x:v>珍禽图册</x:v>
      </x:c>
      <x:c r="C20" s="13" t="str">
        <x:v>史诗</x:v>
      </x:c>
      <x:c r="D20" s="13" t="str">
        <x:v>结算倍率</x:v>
      </x:c>
      <x:c r="E20" s="13" t="str">
        <x:v>场上有至少4种不同名称的动物时，冻结值最高的3件动物获得+50%倍率。</x:v>
      </x:c>
      <x:c r="F20" s="13" t="str">
        <x:v>每回合1次</x:v>
      </x:c>
      <x:c r="G20" s="13" t="str">
        <x:v>牧场</x:v>
      </x:c>
      <x:c r="H20" s="13" t="str">
        <x:v>Rabbit's Foot（增益!D21）</x:v>
      </x:c>
    </x:row>
    <x:row r="21" ht="30" customHeight="1">
      <x:c r="A21" s="3" t="str">
        <x:v>R016</x:v>
      </x:c>
      <x:c r="B21" s="3" t="str">
        <x:v>矿工手套</x:v>
      </x:c>
      <x:c r="C21" s="3" t="str">
        <x:v>普通</x:v>
      </x:c>
      <x:c r="D21" s="3" t="str">
        <x:v>结算加分</x:v>
      </x:c>
      <x:c r="E21" s="3" t="str">
        <x:v>本回合被工具增值过且存活的矿石，各+2。</x:v>
      </x:c>
      <x:c r="F21" s="3" t="str">
        <x:v>每件1次</x:v>
      </x:c>
      <x:c r="G21" s="3" t="str">
        <x:v>矿业</x:v>
      </x:c>
      <x:c r="H21" s="3" t="str">
        <x:v>原创</x:v>
      </x:c>
    </x:row>
    <x:row r="22" ht="30" customHeight="1">
      <x:c r="A22" s="13" t="str">
        <x:v>R017</x:v>
      </x:c>
      <x:c r="B22" s="13" t="str">
        <x:v>边角料箱</x:v>
      </x:c>
      <x:c r="C22" s="13" t="str">
        <x:v>优秀</x:v>
      </x:c>
      <x:c r="D22" s="13" t="str">
        <x:v>消耗事件</x:v>
      </x:c>
      <x:c r="E22" s="13" t="str">
        <x:v>矿业工具消耗矿石时，生成1件废料。</x:v>
      </x:c>
      <x:c r="F22" s="13" t="str">
        <x:v>每回合4件；废料不是矿石</x:v>
      </x:c>
      <x:c r="G22" s="13" t="str">
        <x:v>矿业</x:v>
      </x:c>
      <x:c r="H22" s="13" t="str">
        <x:v>Smokestack（增益!D25）</x:v>
      </x:c>
    </x:row>
    <x:row r="23" ht="30" customHeight="1">
      <x:c r="A23" s="3" t="str">
        <x:v>R018</x:v>
      </x:c>
      <x:c r="B23" s="3" t="str">
        <x:v>筛矿网</x:v>
      </x:c>
      <x:c r="C23" s="3" t="str">
        <x:v>优秀</x:v>
      </x:c>
      <x:c r="D23" s="3" t="str">
        <x:v>生产事件</x:v>
      </x:c>
      <x:c r="E23" s="3" t="str">
        <x:v>碎石机生成晶屑的概率由50%变为75%；生成金砂的概率相应变为25%。</x:v>
      </x:c>
      <x:c r="F23" s="3" t="str">
        <x:v>仅改变该生产者；不影响数量</x:v>
      </x:c>
      <x:c r="G23" s="3" t="str">
        <x:v>矿业</x:v>
      </x:c>
      <x:c r="H23" s="3" t="str">
        <x:v>Map（触发器!D85）</x:v>
      </x:c>
    </x:row>
    <x:row r="24" ht="30" customHeight="1">
      <x:c r="A24" s="13" t="str">
        <x:v>R019</x:v>
      </x:c>
      <x:c r="B24" s="13" t="str">
        <x:v>精炼工艺</x:v>
      </x:c>
      <x:c r="C24" s="13" t="str">
        <x:v>稀有</x:v>
      </x:c>
      <x:c r="D24" s="13" t="str">
        <x:v>生产事件</x:v>
      </x:c>
      <x:c r="E24" s="13" t="str">
        <x:v>金属锭的基础分额外增加参与本次熔炼的不同矿石名称数×3。</x:v>
      </x:c>
      <x:c r="F24" s="13" t="str">
        <x:v>每块锭最多+6</x:v>
      </x:c>
      <x:c r="G24" s="13" t="str">
        <x:v>矿业</x:v>
      </x:c>
      <x:c r="H24" s="13" t="str">
        <x:v>原创</x:v>
      </x:c>
    </x:row>
    <x:row r="25" ht="30" customHeight="1">
      <x:c r="A25" s="3" t="str">
        <x:v>R020</x:v>
      </x:c>
      <x:c r="B25" s="3" t="str">
        <x:v>矿脉契约</x:v>
      </x:c>
      <x:c r="C25" s="3" t="str">
        <x:v>史诗</x:v>
      </x:c>
      <x:c r="D25" s="3" t="str">
        <x:v>结算倍率</x:v>
      </x:c>
      <x:c r="E25" s="3" t="str">
        <x:v>本回合消耗至少6件矿石时，所有存活宝石和金属获得+50%倍率。</x:v>
      </x:c>
      <x:c r="F25" s="3" t="str">
        <x:v>每件仅一次，不因双标签叠加</x:v>
      </x:c>
      <x:c r="G25" s="3" t="str">
        <x:v>矿业</x:v>
      </x:c>
      <x:c r="H25" s="3" t="str">
        <x:v>Museum（触发器!D87）</x:v>
      </x:c>
    </x:row>
    <x:row r="26" ht="30" customHeight="1">
      <x:c r="A26" s="13" t="str">
        <x:v>R021</x:v>
      </x:c>
      <x:c r="B26" s="13" t="str">
        <x:v>耐火手套</x:v>
      </x:c>
      <x:c r="C26" s="13" t="str">
        <x:v>普通</x:v>
      </x:c>
      <x:c r="D26" s="13" t="str">
        <x:v>接触增值</x:v>
      </x:c>
      <x:c r="E26" s="13" t="str">
        <x:v>火元素对非元素物品的固定数值增值额外+1。</x:v>
      </x:c>
      <x:c r="F26" s="13" t="str">
        <x:v>每目标最多3次；火属性标记者也适用</x:v>
      </x:c>
      <x:c r="G26" s="13" t="str">
        <x:v>元素</x:v>
      </x:c>
      <x:c r="H26" s="13" t="str">
        <x:v>Torch（触发器!D60）</x:v>
      </x:c>
    </x:row>
    <x:row r="27" ht="30" customHeight="1">
      <x:c r="A27" s="3" t="str">
        <x:v>R022</x:v>
      </x:c>
      <x:c r="B27" s="3" t="str">
        <x:v>冷凝管</x:v>
      </x:c>
      <x:c r="C27" s="3" t="str">
        <x:v>优秀</x:v>
      </x:c>
      <x:c r="D27" s="3" t="str">
        <x:v>生产事件</x:v>
      </x:c>
      <x:c r="E27" s="3" t="str">
        <x:v>本回合第一次生成蒸汽时，额外生成2颗水珠。</x:v>
      </x:c>
      <x:c r="F27" s="3" t="str">
        <x:v>1次；额外水珠不触发追加生产</x:v>
      </x:c>
      <x:c r="G27" s="3" t="str">
        <x:v>元素</x:v>
      </x:c>
      <x:c r="H27" s="3" t="str">
        <x:v>Waterfall（增益!D55）</x:v>
      </x:c>
    </x:row>
    <x:row r="28" ht="30" customHeight="1">
      <x:c r="A28" s="13" t="str">
        <x:v>R023</x:v>
      </x:c>
      <x:c r="B28" s="13" t="str">
        <x:v>双芯烛台</x:v>
      </x:c>
      <x:c r="C28" s="13" t="str">
        <x:v>优秀</x:v>
      </x:c>
      <x:c r="D28" s="13" t="str">
        <x:v>结算加分</x:v>
      </x:c>
      <x:c r="E28" s="13" t="str">
        <x:v>每有1根存活且点亮的蜡烛，记分4。</x:v>
      </x:c>
      <x:c r="F28" s="13" t="str">
        <x:v>最多计4根</x:v>
      </x:c>
      <x:c r="G28" s="13" t="str">
        <x:v>元素</x:v>
      </x:c>
      <x:c r="H28" s="13" t="str">
        <x:v>Candle（触发器!D11）</x:v>
      </x:c>
    </x:row>
    <x:row r="29" ht="30" customHeight="1">
      <x:c r="A29" s="3" t="str">
        <x:v>R024</x:v>
      </x:c>
      <x:c r="B29" s="3" t="str">
        <x:v>冷热循环</x:v>
      </x:c>
      <x:c r="C29" s="3" t="str">
        <x:v>稀有</x:v>
      </x:c>
      <x:c r="D29" s="3" t="str">
        <x:v>转化事件</x:v>
      </x:c>
      <x:c r="E29" s="3" t="str">
        <x:v>同一换热器完成一次水珠转火星和一次火星转水珠后，自己+8。</x:v>
      </x:c>
      <x:c r="F29" s="3" t="str">
        <x:v>每换热器1次</x:v>
      </x:c>
      <x:c r="G29" s="3" t="str">
        <x:v>元素</x:v>
      </x:c>
      <x:c r="H29" s="3" t="str">
        <x:v>Radiator（触发器!D23）</x:v>
      </x:c>
    </x:row>
    <x:row r="30" ht="30" customHeight="1">
      <x:c r="A30" s="13" t="str">
        <x:v>R025</x:v>
      </x:c>
      <x:c r="B30" s="13" t="str">
        <x:v>烟火庆典</x:v>
      </x:c>
      <x:c r="C30" s="13" t="str">
        <x:v>史诗</x:v>
      </x:c>
      <x:c r="D30" s="13" t="str">
        <x:v>结算倍率</x:v>
      </x:c>
      <x:c r="E30" s="13" t="str">
        <x:v>本回合生成过至少3种不同元素产物时，所有火元素和水元素获得+50%倍率。</x:v>
      </x:c>
      <x:c r="F30" s="13" t="str">
        <x:v>每件1次；双标签不重复</x:v>
      </x:c>
      <x:c r="G30" s="13" t="str">
        <x:v>元素</x:v>
      </x:c>
      <x:c r="H30" s="13" t="str">
        <x:v>Firecracker（触发器!D42）</x:v>
      </x:c>
    </x:row>
    <x:row r="31" ht="30" customHeight="1">
      <x:c r="A31" s="3" t="str">
        <x:v>R026</x:v>
      </x:c>
      <x:c r="B31" s="3" t="str">
        <x:v>收据夹</x:v>
      </x:c>
      <x:c r="C31" s="3" t="str">
        <x:v>普通</x:v>
      </x:c>
      <x:c r="D31" s="3" t="str">
        <x:v>收存事件</x:v>
      </x:c>
      <x:c r="E31" s="3" t="str">
        <x:v>容器成功收存时额外记分1。</x:v>
      </x:c>
      <x:c r="F31" s="3" t="str">
        <x:v>每回合最多8次</x:v>
      </x:c>
      <x:c r="G31" s="3" t="str">
        <x:v>储存</x:v>
      </x:c>
      <x:c r="H31" s="3" t="str">
        <x:v>Receipt（增益!D22）</x:v>
      </x:c>
    </x:row>
    <x:row r="32" ht="30" customHeight="1">
      <x:c r="A32" s="13" t="str">
        <x:v>R027</x:v>
      </x:c>
      <x:c r="B32" s="13" t="str">
        <x:v>分类货签</x:v>
      </x:c>
      <x:c r="C32" s="13" t="str">
        <x:v>优秀</x:v>
      </x:c>
      <x:c r="D32" s="13" t="str">
        <x:v>结算加分</x:v>
      </x:c>
      <x:c r="E32" s="13" t="str">
        <x:v>每个非空容器，按内部不同名称数量×2获得加分。</x:v>
      </x:c>
      <x:c r="F32" s="13" t="str">
        <x:v>每容器最多计4种</x:v>
      </x:c>
      <x:c r="G32" s="13" t="str">
        <x:v>储存</x:v>
      </x:c>
      <x:c r="H32" s="13" t="str">
        <x:v>Fanny Pack（增益!D13）</x:v>
      </x:c>
    </x:row>
    <x:row r="33" ht="30" customHeight="1">
      <x:c r="A33" s="3" t="str">
        <x:v>R028</x:v>
      </x:c>
      <x:c r="B33" s="3" t="str">
        <x:v>存满奖励</x:v>
      </x:c>
      <x:c r="C33" s="3" t="str">
        <x:v>优秀</x:v>
      </x:c>
      <x:c r="D33" s="3" t="str">
        <x:v>结算加分</x:v>
      </x:c>
      <x:c r="E33" s="3" t="str">
        <x:v>满载且存活的容器各+6。</x:v>
      </x:c>
      <x:c r="F33" s="3" t="str">
        <x:v>每件1次；容量取卡面</x:v>
      </x:c>
      <x:c r="G33" s="3" t="str">
        <x:v>储存</x:v>
      </x:c>
      <x:c r="H33" s="3" t="str">
        <x:v>Abacus（增益!D31）</x:v>
      </x:c>
    </x:row>
    <x:row r="34" ht="30" customHeight="1">
      <x:c r="A34" s="13" t="str">
        <x:v>R029</x:v>
      </x:c>
      <x:c r="B34" s="13" t="str">
        <x:v>零存整取</x:v>
      </x:c>
      <x:c r="C34" s="13" t="str">
        <x:v>稀有</x:v>
      </x:c>
      <x:c r="D34" s="13" t="str">
        <x:v>结算末</x:v>
      </x:c>
      <x:c r="E34" s="13" t="str">
        <x:v>投资箱本回合达成自身永久成长时，额外永久基础分+1。</x:v>
      </x:c>
      <x:c r="F34" s="13" t="str">
        <x:v>每箱来自此遗物永久累计+5封顶</x:v>
      </x:c>
      <x:c r="G34" s="13" t="str">
        <x:v>储存</x:v>
      </x:c>
      <x:c r="H34" s="13" t="str">
        <x:v>Growth Serum（增益!D52）</x:v>
      </x:c>
    </x:row>
    <x:row r="35" ht="30" customHeight="1">
      <x:c r="A35" s="3" t="str">
        <x:v>R030</x:v>
      </x:c>
      <x:c r="B35" s="3" t="str">
        <x:v>仓储保险</x:v>
      </x:c>
      <x:c r="C35" s="3" t="str">
        <x:v>史诗</x:v>
      </x:c>
      <x:c r="D35" s="3" t="str">
        <x:v>结算倍率</x:v>
      </x:c>
      <x:c r="E35" s="3" t="str">
        <x:v>本回合没有容器被消耗且至少3个容器非空存活时，所有非空容器获得+50%倍率。</x:v>
      </x:c>
      <x:c r="F35" s="3" t="str">
        <x:v>每回合1次</x:v>
      </x:c>
      <x:c r="G35" s="3" t="str">
        <x:v>储存</x:v>
      </x:c>
      <x:c r="H35" s="3" t="str">
        <x:v>Blender（增益!D35）</x:v>
      </x:c>
    </x:row>
    <x:row r="36" ht="30" customHeight="1">
      <x:c r="A36" s="13" t="str">
        <x:v>R031</x:v>
      </x:c>
      <x:c r="B36" s="13" t="str">
        <x:v>备用电芯</x:v>
      </x:c>
      <x:c r="C36" s="13" t="str">
        <x:v>普通</x:v>
      </x:c>
      <x:c r="D36" s="13" t="str">
        <x:v>入瓶</x:v>
      </x:c>
      <x:c r="E36" s="13" t="str">
        <x:v>初始抽取的充能物品各额外获得1充能。</x:v>
      </x:c>
      <x:c r="F36" s="13" t="str">
        <x:v>每物品1次；不超过5；电源除外</x:v>
      </x:c>
      <x:c r="G36" s="13" t="str">
        <x:v>机械</x:v>
      </x:c>
      <x:c r="H36" s="13" t="str">
        <x:v>Backup Battery（增益!D2）</x:v>
      </x:c>
    </x:row>
    <x:row r="37" ht="30" customHeight="1">
      <x:c r="A37" s="3" t="str">
        <x:v>R032</x:v>
      </x:c>
      <x:c r="B37" s="3" t="str">
        <x:v>能量回执</x:v>
      </x:c>
      <x:c r="C37" s="3" t="str">
        <x:v>优秀</x:v>
      </x:c>
      <x:c r="D37" s="3" t="str">
        <x:v>充能消耗</x:v>
      </x:c>
      <x:c r="E37" s="3" t="str">
        <x:v>每实际花费1充能，记分1。</x:v>
      </x:c>
      <x:c r="F37" s="3" t="str">
        <x:v>每回合最多12分；效率标记减免部分不算</x:v>
      </x:c>
      <x:c r="G37" s="3" t="str">
        <x:v>机械</x:v>
      </x:c>
      <x:c r="H37" s="3" t="str">
        <x:v>Receipt（增益!D22）</x:v>
      </x:c>
    </x:row>
    <x:row r="38" ht="30" customHeight="1">
      <x:c r="A38" s="13" t="str">
        <x:v>R033</x:v>
      </x:c>
      <x:c r="B38" s="13" t="str">
        <x:v>节能齿轮</x:v>
      </x:c>
      <x:c r="C38" s="13" t="str">
        <x:v>优秀</x:v>
      </x:c>
      <x:c r="D38" s="13" t="str">
        <x:v>充能消耗</x:v>
      </x:c>
      <x:c r="E38" s="13" t="str">
        <x:v>每个充能物品第一次正常花费充能后返还1充能。</x:v>
      </x:c>
      <x:c r="F38" s="13" t="str">
        <x:v>每实例1次；不会再次触发花费事件</x:v>
      </x:c>
      <x:c r="G38" s="13" t="str">
        <x:v>机械</x:v>
      </x:c>
      <x:c r="H38" s="13" t="str">
        <x:v>Refrigerator（触发器!D91）</x:v>
      </x:c>
    </x:row>
    <x:row r="39" ht="30" customHeight="1">
      <x:c r="A39" s="3" t="str">
        <x:v>R034</x:v>
      </x:c>
      <x:c r="B39" s="3" t="str">
        <x:v>并联线圈</x:v>
      </x:c>
      <x:c r="C39" s="3" t="str">
        <x:v>稀有</x:v>
      </x:c>
      <x:c r="D39" s="3" t="str">
        <x:v>结算加分</x:v>
      </x:c>
      <x:c r="E39" s="3" t="str">
        <x:v>充能物品每剩1充能，自己+2。</x:v>
      </x:c>
      <x:c r="F39" s="3" t="str">
        <x:v>每件最多计3充能</x:v>
      </x:c>
      <x:c r="G39" s="3" t="str">
        <x:v>机械</x:v>
      </x:c>
      <x:c r="H39" s="3" t="str">
        <x:v>Greenhouse（触发器!D80）</x:v>
      </x:c>
    </x:row>
    <x:row r="40" ht="30" customHeight="1">
      <x:c r="A40" s="13" t="str">
        <x:v>R035</x:v>
      </x:c>
      <x:c r="B40" s="13" t="str">
        <x:v>过载许可证</x:v>
      </x:c>
      <x:c r="C40" s="13" t="str">
        <x:v>史诗</x:v>
      </x:c>
      <x:c r="D40" s="13" t="str">
        <x:v>充能消耗</x:v>
      </x:c>
      <x:c r="E40" s="13" t="str">
        <x:v>某个充能物品本回合实际累计花费3充能时，自己+10。</x:v>
      </x:c>
      <x:c r="F40" s="13" t="str">
        <x:v>每实例1次；不放宽技能次数上限</x:v>
      </x:c>
      <x:c r="G40" s="13" t="str">
        <x:v>机械</x:v>
      </x:c>
      <x:c r="H40" s="13" t="str">
        <x:v>Donut（增益!D8）</x:v>
      </x:c>
    </x:row>
    <x:row r="41" ht="30" customHeight="1">
      <x:c r="A41" s="3" t="str">
        <x:v>R036</x:v>
      </x:c>
      <x:c r="B41" s="3" t="str">
        <x:v>悼念花束</x:v>
      </x:c>
      <x:c r="C41" s="3" t="str">
        <x:v>普通</x:v>
      </x:c>
      <x:c r="D41" s="3" t="str">
        <x:v>消耗事件</x:v>
      </x:c>
      <x:c r="E41" s="3" t="str">
        <x:v>初始抽取物品第一次被消耗时，记分2。</x:v>
      </x:c>
      <x:c r="F41" s="3" t="str">
        <x:v>每实例1次；每回合最多8次</x:v>
      </x:c>
      <x:c r="G41" s="3" t="str">
        <x:v>灵魂</x:v>
      </x:c>
      <x:c r="H41" s="3" t="str">
        <x:v>Tombstone（增益!D26）</x:v>
      </x:c>
    </x:row>
    <x:row r="42" ht="30" customHeight="1">
      <x:c r="A42" s="13" t="str">
        <x:v>R037</x:v>
      </x:c>
      <x:c r="B42" s="13" t="str">
        <x:v>不灭烛芯</x:v>
      </x:c>
      <x:c r="C42" s="13" t="str">
        <x:v>优秀</x:v>
      </x:c>
      <x:c r="D42" s="13" t="str">
        <x:v>被消耗</x:v>
      </x:c>
      <x:c r="E42" s="13" t="str">
        <x:v>幽灵被消耗时额外记分1。</x:v>
      </x:c>
      <x:c r="F42" s="13" t="str">
        <x:v>每回合最多8个幽灵</x:v>
      </x:c>
      <x:c r="G42" s="13" t="str">
        <x:v>灵魂</x:v>
      </x:c>
      <x:c r="H42" s="13" t="str">
        <x:v>Douter（增益!D9）</x:v>
      </x:c>
    </x:row>
    <x:row r="43" ht="30" customHeight="1">
      <x:c r="A43" s="3" t="str">
        <x:v>R038</x:v>
      </x:c>
      <x:c r="B43" s="3" t="str">
        <x:v>送别铃声</x:v>
      </x:c>
      <x:c r="C43" s="3" t="str">
        <x:v>优秀</x:v>
      </x:c>
      <x:c r="D43" s="3" t="str">
        <x:v>消耗事件</x:v>
      </x:c>
      <x:c r="E43" s="3" t="str">
        <x:v>有灵魂物品被消耗时，冻结前仍存活的亡语铃立即+2。</x:v>
      </x:c>
      <x:c r="F43" s="3" t="str">
        <x:v>每个铃最多获益4次</x:v>
      </x:c>
      <x:c r="G43" s="3" t="str">
        <x:v>灵魂</x:v>
      </x:c>
      <x:c r="H43" s="3" t="str">
        <x:v>Smokestack（增益!D25）</x:v>
      </x:c>
    </x:row>
    <x:row r="44" ht="30" customHeight="1">
      <x:c r="A44" s="13" t="str">
        <x:v>R039</x:v>
      </x:c>
      <x:c r="B44" s="13" t="str">
        <x:v>魂火提灯</x:v>
      </x:c>
      <x:c r="C44" s="13" t="str">
        <x:v>稀有</x:v>
      </x:c>
      <x:c r="D44" s="13" t="str">
        <x:v>结算倍率</x:v>
      </x:c>
      <x:c r="E44" s="13" t="str">
        <x:v>本回合消耗过至少3个幽灵时，场上魂火和灵魂石获得+75%倍率。</x:v>
      </x:c>
      <x:c r="F44" s="13" t="str">
        <x:v>每回合1次</x:v>
      </x:c>
      <x:c r="G44" s="13" t="str">
        <x:v>灵魂</x:v>
      </x:c>
      <x:c r="H44" s="13" t="str">
        <x:v>Tombstone（增益!D26）</x:v>
      </x:c>
    </x:row>
    <x:row r="45" ht="30" customHeight="1">
      <x:c r="A45" s="3" t="str">
        <x:v>R040</x:v>
      </x:c>
      <x:c r="B45" s="3" t="str">
        <x:v>轮回契约</x:v>
      </x:c>
      <x:c r="C45" s="3" t="str">
        <x:v>史诗</x:v>
      </x:c>
      <x:c r="D45" s="3" t="str">
        <x:v>返还事件</x:v>
      </x:c>
      <x:c r="E45" s="3" t="str">
        <x:v>被轮回匣返还的物品获得+100%结算倍率。</x:v>
      </x:c>
      <x:c r="F45" s="3" t="str">
        <x:v>每回合1件；不重置其效果次数</x:v>
      </x:c>
      <x:c r="G45" s="3" t="str">
        <x:v>灵魂</x:v>
      </x:c>
      <x:c r="H45" s="3" t="str">
        <x:v>Spell of Rebirth（触发器!D125）</x:v>
      </x:c>
    </x:row>
    <x:row r="46" ht="30" customHeight="1">
      <x:c r="A46" s="13" t="str">
        <x:v>R041</x:v>
      </x:c>
      <x:c r="B46" s="13" t="str">
        <x:v>绒布底座</x:v>
      </x:c>
      <x:c r="C46" s="13" t="str">
        <x:v>普通</x:v>
      </x:c>
      <x:c r="D46" s="13" t="str">
        <x:v>结算加分</x:v>
      </x:c>
      <x:c r="E46" s="13" t="str">
        <x:v>本回合未被收存且存活的宝石各+1。</x:v>
      </x:c>
      <x:c r="F46" s="13" t="str">
        <x:v>每件1次</x:v>
      </x:c>
      <x:c r="G46" s="13" t="str">
        <x:v>宝石</x:v>
      </x:c>
      <x:c r="H46" s="13" t="str">
        <x:v>Amethyst（触发器!D103）</x:v>
      </x:c>
    </x:row>
    <x:row r="47" ht="30" customHeight="1">
      <x:c r="A47" s="3" t="str">
        <x:v>R042</x:v>
      </x:c>
      <x:c r="B47" s="3" t="str">
        <x:v>宝石匣谱</x:v>
      </x:c>
      <x:c r="C47" s="3" t="str">
        <x:v>优秀</x:v>
      </x:c>
      <x:c r="D47" s="3" t="str">
        <x:v>结算加分</x:v>
      </x:c>
      <x:c r="E47" s="3" t="str">
        <x:v>场上每有1种不同宝石，所有共鸣物品各+1。</x:v>
      </x:c>
      <x:c r="F47" s="3" t="str">
        <x:v>最多计4种</x:v>
      </x:c>
      <x:c r="G47" s="3" t="str">
        <x:v>宝石</x:v>
      </x:c>
      <x:c r="H47" s="3" t="str">
        <x:v>Amethyst（触发器!D103）</x:v>
      </x:c>
    </x:row>
    <x:row r="48" ht="30" customHeight="1">
      <x:c r="A48" s="13" t="str">
        <x:v>R043</x:v>
      </x:c>
      <x:c r="B48" s="13" t="str">
        <x:v>共鸣余音</x:v>
      </x:c>
      <x:c r="C48" s="13" t="str">
        <x:v>优秀</x:v>
      </x:c>
      <x:c r="D48" s="13" t="str">
        <x:v>结算前0.5秒</x:v>
      </x:c>
      <x:c r="E48" s="13" t="str">
        <x:v>有至少3件宝石已组成接触连通组时，在其中冻结前当前值最高者附近生成1颗回声珠。</x:v>
      </x:c>
      <x:c r="F48" s="13" t="str">
        <x:v>每回合1颗；时点固定为9.5秒</x:v>
      </x:c>
      <x:c r="G48" s="13" t="str">
        <x:v>宝石</x:v>
      </x:c>
      <x:c r="H48" s="13" t="str">
        <x:v>Topaz（触发器!D126）</x:v>
      </x:c>
    </x:row>
    <x:row r="49" ht="30" customHeight="1">
      <x:c r="A49" s="3" t="str">
        <x:v>R044</x:v>
      </x:c>
      <x:c r="B49" s="3" t="str">
        <x:v>透镜镀膜</x:v>
      </x:c>
      <x:c r="C49" s="3" t="str">
        <x:v>稀有</x:v>
      </x:c>
      <x:c r="D49" s="3" t="str">
        <x:v>结算加分</x:v>
      </x:c>
      <x:c r="E49" s="3" t="str">
        <x:v>镜片读取的比例由50%改为75%，仍只读取冻结值。</x:v>
      </x:c>
      <x:c r="F49" s="3" t="str">
        <x:v>每镜片1次</x:v>
      </x:c>
      <x:c r="G49" s="3" t="str">
        <x:v>宝石</x:v>
      </x:c>
      <x:c r="H49" s="3" t="str">
        <x:v>原创</x:v>
      </x:c>
    </x:row>
    <x:row r="50" ht="30" customHeight="1">
      <x:c r="A50" s="13" t="str">
        <x:v>R045</x:v>
      </x:c>
      <x:c r="B50" s="13" t="str">
        <x:v>七彩折射</x:v>
      </x:c>
      <x:c r="C50" s="13" t="str">
        <x:v>史诗</x:v>
      </x:c>
      <x:c r="D50" s="13" t="str">
        <x:v>结算倍率</x:v>
      </x:c>
      <x:c r="E50" s="13" t="str">
        <x:v>场上宝石名称至少5种时，所有宝石获得+50%倍率。</x:v>
      </x:c>
      <x:c r="F50" s="13" t="str">
        <x:v>每回合1次</x:v>
      </x:c>
      <x:c r="G50" s="13" t="str">
        <x:v>宝石</x:v>
      </x:c>
      <x:c r="H50" s="13" t="str">
        <x:v>Rainbow（触发器!D90）</x:v>
      </x:c>
    </x:row>
    <x:row r="51" ht="30" customHeight="1">
      <x:c r="A51" s="3" t="str">
        <x:v>R046</x:v>
      </x:c>
      <x:c r="B51" s="3" t="str">
        <x:v>磨刀石</x:v>
      </x:c>
      <x:c r="C51" s="3" t="str">
        <x:v>普通</x:v>
      </x:c>
      <x:c r="D51" s="3" t="str">
        <x:v>伤害事件</x:v>
      </x:c>
      <x:c r="E51" s="3" t="str">
        <x:v>木剑每次实际造成伤害后，自己额外+2。</x:v>
      </x:c>
      <x:c r="F51" s="3" t="str">
        <x:v>每剑最多3次；不增加伤害</x:v>
      </x:c>
      <x:c r="G51" s="3" t="str">
        <x:v>探险</x:v>
      </x:c>
      <x:c r="H51" s="3" t="str">
        <x:v>Sword（触发器!D58）</x:v>
      </x:c>
    </x:row>
    <x:row r="52" ht="30" customHeight="1">
      <x:c r="A52" s="13" t="str">
        <x:v>R047</x:v>
      </x:c>
      <x:c r="B52" s="13" t="str">
        <x:v>备用钥匙圈</x:v>
      </x:c>
      <x:c r="C52" s="13" t="str">
        <x:v>优秀</x:v>
      </x:c>
      <x:c r="D52" s="13" t="str">
        <x:v>入瓶</x:v>
      </x:c>
      <x:c r="E52" s="13" t="str">
        <x:v>初始抽取里有宝箱时，在其中1个宝箱附近生成1把临时钥匙。</x:v>
      </x:c>
      <x:c r="F52" s="13" t="str">
        <x:v>每回合1把；钥匙沿用I097定义</x:v>
      </x:c>
      <x:c r="G52" s="13" t="str">
        <x:v>探险</x:v>
      </x:c>
      <x:c r="H52" s="13" t="str">
        <x:v>Treasure Chest（触发器!D61）</x:v>
      </x:c>
    </x:row>
    <x:row r="53" ht="30" customHeight="1">
      <x:c r="A53" s="3" t="str">
        <x:v>R048</x:v>
      </x:c>
      <x:c r="B53" s="3" t="str">
        <x:v>旅行印记</x:v>
      </x:c>
      <x:c r="C53" s="3" t="str">
        <x:v>优秀</x:v>
      </x:c>
      <x:c r="D53" s="3" t="str">
        <x:v>结算加分</x:v>
      </x:c>
      <x:c r="E53" s="3" t="str">
        <x:v>有路标且存活的探险物品各+4。</x:v>
      </x:c>
      <x:c r="F53" s="3" t="str">
        <x:v>每件1次</x:v>
      </x:c>
      <x:c r="G53" s="3" t="str">
        <x:v>探险</x:v>
      </x:c>
      <x:c r="H53" s="3" t="str">
        <x:v>Map（触发器!D85）</x:v>
      </x:c>
    </x:row>
    <x:row r="54" ht="30" customHeight="1">
      <x:c r="A54" s="13" t="str">
        <x:v>R049</x:v>
      </x:c>
      <x:c r="B54" s="13" t="str">
        <x:v>胜利绶带</x:v>
      </x:c>
      <x:c r="C54" s="13" t="str">
        <x:v>稀有</x:v>
      </x:c>
      <x:c r="D54" s="13" t="str">
        <x:v>击败事件</x:v>
      </x:c>
      <x:c r="E54" s="13" t="str">
        <x:v>守门巨像成功被击败时，所有实际伤害过它且仍存活的木剑各+6。</x:v>
      </x:c>
      <x:c r="F54" s="13" t="str">
        <x:v>每剑每回合最多获益2次</x:v>
      </x:c>
      <x:c r="G54" s="13" t="str">
        <x:v>探险</x:v>
      </x:c>
      <x:c r="H54" s="13" t="str">
        <x:v>Gavel（增益!D15）</x:v>
      </x:c>
    </x:row>
    <x:row r="55" ht="30" customHeight="1">
      <x:c r="A55" s="3" t="str">
        <x:v>R050</x:v>
      </x:c>
      <x:c r="B55" s="3" t="str">
        <x:v>探险家勋章</x:v>
      </x:c>
      <x:c r="C55" s="3" t="str">
        <x:v>史诗</x:v>
      </x:c>
      <x:c r="D55" s="3" t="str">
        <x:v>结算倍率</x:v>
      </x:c>
      <x:c r="E55" s="3" t="str">
        <x:v>本回合既打开过宝箱又击败过守门巨像时，所有存活探险物品获得+100%倍率。</x:v>
      </x:c>
      <x:c r="F55" s="3" t="str">
        <x:v>每回合1次</x:v>
      </x:c>
      <x:c r="G55" s="3" t="str">
        <x:v>探险</x:v>
      </x:c>
      <x:c r="H55" s="3" t="str">
        <x:v>Scary Mask（增益!D23）</x:v>
      </x:c>
    </x:row>
    <x:row r="56" ht="30" customHeight="1">
      <x:c r="A56" s="13" t="str">
        <x:v>R051</x:v>
      </x:c>
      <x:c r="B56" s="13" t="str">
        <x:v>邮戳油墨</x:v>
      </x:c>
      <x:c r="C56" s="13" t="str">
        <x:v>普通</x:v>
      </x:c>
      <x:c r="D56" s="13" t="str">
        <x:v>盖章事件</x:v>
      </x:c>
      <x:c r="E56" s="13" t="str">
        <x:v>印章给物品邮戳时，目标额外+1。</x:v>
      </x:c>
      <x:c r="F56" s="13" t="str">
        <x:v>每目标1次；复制邮戳不触发</x:v>
      </x:c>
      <x:c r="G56" s="13" t="str">
        <x:v>连锁</x:v>
      </x:c>
      <x:c r="H56" s="13" t="str">
        <x:v>原创</x:v>
      </x:c>
    </x:row>
    <x:row r="57" ht="30" customHeight="1">
      <x:c r="A57" s="3" t="str">
        <x:v>R052</x:v>
      </x:c>
      <x:c r="B57" s="3" t="str">
        <x:v>路径手册</x:v>
      </x:c>
      <x:c r="C57" s="3" t="str">
        <x:v>优秀</x:v>
      </x:c>
      <x:c r="D57" s="3" t="str">
        <x:v>结算加分</x:v>
      </x:c>
      <x:c r="E57" s="3" t="str">
        <x:v>带路径标记的物品，每层标记使自己+2。</x:v>
      </x:c>
      <x:c r="F57" s="3" t="str">
        <x:v>每件最多计3层</x:v>
      </x:c>
      <x:c r="G57" s="3" t="str">
        <x:v>连锁</x:v>
      </x:c>
      <x:c r="H57" s="3" t="str">
        <x:v>Cave（触发器!D13）</x:v>
      </x:c>
    </x:row>
    <x:row r="58" ht="30" customHeight="1">
      <x:c r="A58" s="13" t="str">
        <x:v>R053</x:v>
      </x:c>
      <x:c r="B58" s="13" t="str">
        <x:v>集邮册</x:v>
      </x:c>
      <x:c r="C58" s="13" t="str">
        <x:v>优秀</x:v>
      </x:c>
      <x:c r="D58" s="13" t="str">
        <x:v>收存事件</x:v>
      </x:c>
      <x:c r="E58" s="13" t="str">
        <x:v>邮筒收存带邮戳物品时，生成1张纪念票。</x:v>
      </x:c>
      <x:c r="F58" s="13" t="str">
        <x:v>每回合2张；纪念票不触发此遗物</x:v>
      </x:c>
      <x:c r="G58" s="13" t="str">
        <x:v>连锁</x:v>
      </x:c>
      <x:c r="H58" s="13" t="str">
        <x:v>原创</x:v>
      </x:c>
    </x:row>
    <x:row r="59" ht="30" customHeight="1">
      <x:c r="A59" s="3" t="str">
        <x:v>R054</x:v>
      </x:c>
      <x:c r="B59" s="3" t="str">
        <x:v>接力奖章</x:v>
      </x:c>
      <x:c r="C59" s="3" t="str">
        <x:v>稀有</x:v>
      </x:c>
      <x:c r="D59" s="3" t="str">
        <x:v>结算倍率</x:v>
      </x:c>
      <x:c r="E59" s="3" t="str">
        <x:v>本回合完成过传出标记的接力棒，获得+100%倍率。</x:v>
      </x:c>
      <x:c r="F59" s="3" t="str">
        <x:v>每件1次</x:v>
      </x:c>
      <x:c r="G59" s="3" t="str">
        <x:v>连锁</x:v>
      </x:c>
      <x:c r="H59" s="3" t="str">
        <x:v>Cave（触发器!D13）</x:v>
      </x:c>
    </x:row>
    <x:row r="60" ht="30" customHeight="1">
      <x:c r="A60" s="13" t="str">
        <x:v>R055</x:v>
      </x:c>
      <x:c r="B60" s="13" t="str">
        <x:v>连环封印</x:v>
      </x:c>
      <x:c r="C60" s="13" t="str">
        <x:v>史诗</x:v>
      </x:c>
      <x:c r="D60" s="13" t="str">
        <x:v>结算加分</x:v>
      </x:c>
      <x:c r="E60" s="13" t="str">
        <x:v>场上至少4件非连锁物品带邮戳时，所有存活连锁物品各+6。</x:v>
      </x:c>
      <x:c r="F60" s="13" t="str">
        <x:v>每回合1次</x:v>
      </x:c>
      <x:c r="G60" s="13" t="str">
        <x:v>连锁</x:v>
      </x:c>
      <x:c r="H60" s="13" t="str">
        <x:v>原创</x:v>
      </x:c>
    </x:row>
    <x:row r="61" ht="30" customHeight="1">
      <x:c r="A61" s="3" t="str">
        <x:v>R056</x:v>
      </x:c>
      <x:c r="B61" s="3" t="str">
        <x:v>旧照片</x:v>
      </x:c>
      <x:c r="C61" s="3" t="str">
        <x:v>普通</x:v>
      </x:c>
      <x:c r="D61" s="3" t="str">
        <x:v>结算加分</x:v>
      </x:c>
      <x:c r="E61" s="3" t="str">
        <x:v>永久基础分高于初始基础分的存活物品，各+2。</x:v>
      </x:c>
      <x:c r="F61" s="3" t="str">
        <x:v>每件1次</x:v>
      </x:c>
      <x:c r="G61" s="3" t="str">
        <x:v>结算</x:v>
      </x:c>
      <x:c r="H61" s="3" t="str">
        <x:v>Camera（触发器!D69）</x:v>
      </x:c>
    </x:row>
    <x:row r="62" ht="30" customHeight="1">
      <x:c r="A62" s="13" t="str">
        <x:v>R057</x:v>
      </x:c>
      <x:c r="B62" s="13" t="str">
        <x:v>登场纪念章</x:v>
      </x:c>
      <x:c r="C62" s="13" t="str">
        <x:v>优秀</x:v>
      </x:c>
      <x:c r="D62" s="13" t="str">
        <x:v>结算末</x:v>
      </x:c>
      <x:c r="E62" s="13" t="str">
        <x:v>本回合初始抽取中永久基础分最低的成长物品若存活，永久基础分+1。</x:v>
      </x:c>
      <x:c r="F62" s="13" t="str">
        <x:v>每回合1件；每实例来自此遗物累计+5封顶</x:v>
      </x:c>
      <x:c r="G62" s="13" t="str">
        <x:v>结算</x:v>
      </x:c>
      <x:c r="H62" s="13" t="str">
        <x:v>Gross Michel（增益!D51）</x:v>
      </x:c>
    </x:row>
    <x:row r="63" ht="30" customHeight="1">
      <x:c r="A63" s="3" t="str">
        <x:v>R058</x:v>
      </x:c>
      <x:c r="B63" s="3" t="str">
        <x:v>精密标尺</x:v>
      </x:c>
      <x:c r="C63" s="3" t="str">
        <x:v>优秀</x:v>
      </x:c>
      <x:c r="D63" s="3" t="str">
        <x:v>结算加分</x:v>
      </x:c>
      <x:c r="E63" s="3" t="str">
        <x:v>本回合获得过正数结算加分的物品，各再+1；不计本遗物自身造成的加分。</x:v>
      </x:c>
      <x:c r="F63" s="3" t="str">
        <x:v>每件1次；在全部普通加分后处理</x:v>
      </x:c>
      <x:c r="G63" s="3" t="str">
        <x:v>结算</x:v>
      </x:c>
      <x:c r="H63" s="3" t="str">
        <x:v>原创</x:v>
      </x:c>
    </x:row>
    <x:row r="64" ht="30" customHeight="1">
      <x:c r="A64" s="13" t="str">
        <x:v>R059</x:v>
      </x:c>
      <x:c r="B64" s="13" t="str">
        <x:v>头等奖座</x:v>
      </x:c>
      <x:c r="C64" s="13" t="str">
        <x:v>稀有</x:v>
      </x:c>
      <x:c r="D64" s="13" t="str">
        <x:v>结算倍率</x:v>
      </x:c>
      <x:c r="E64" s="13" t="str">
        <x:v>冻结值唯一最高且至少为10的物品，获得+50%倍率。</x:v>
      </x:c>
      <x:c r="F64" s="13" t="str">
        <x:v>每回合1件；并列不生效</x:v>
      </x:c>
      <x:c r="G64" s="13" t="str">
        <x:v>结算</x:v>
      </x:c>
      <x:c r="H64" s="13" t="str">
        <x:v>Compass（触发器!D73）</x:v>
      </x:c>
    </x:row>
    <x:row r="65" ht="30" customHeight="1">
      <x:c r="A65" s="3" t="str">
        <x:v>R060</x:v>
      </x:c>
      <x:c r="B65" s="3" t="str">
        <x:v>时代藏品</x:v>
      </x:c>
      <x:c r="C65" s="3" t="str">
        <x:v>史诗</x:v>
      </x:c>
      <x:c r="D65" s="3" t="str">
        <x:v>结算倍率</x:v>
      </x:c>
      <x:c r="E65" s="3" t="str">
        <x:v>至少3件存活物品具有永久成长增量时，所有成长物品获得+50%倍率。</x:v>
      </x:c>
      <x:c r="F65" s="3" t="str">
        <x:v>每回合1次</x:v>
      </x:c>
      <x:c r="G65" s="3" t="str">
        <x:v>结算</x:v>
      </x:c>
      <x:c r="H65" s="3" t="str">
        <x:v>Hourglass（增益!D39）</x:v>
      </x:c>
    </x:row>
    <x:row r="66" ht="30" customHeight="1">
      <x:c r="A66" s="13" t="str">
        <x:v>R061</x:v>
      </x:c>
      <x:c r="B66" s="13" t="str">
        <x:v>标准刻度</x:v>
      </x:c>
      <x:c r="C66" s="13" t="str">
        <x:v>普通</x:v>
      </x:c>
      <x:c r="D66" s="13" t="str">
        <x:v>结算加分</x:v>
      </x:c>
      <x:c r="E66" s="13" t="str">
        <x:v>所有初始抽取且存活的物品各+1。</x:v>
      </x:c>
      <x:c r="F66" s="13" t="str">
        <x:v>每件1次</x:v>
      </x:c>
      <x:c r="G66" s="13" t="str">
        <x:v>通用</x:v>
      </x:c>
      <x:c r="H66" s="13" t="str">
        <x:v>原创</x:v>
      </x:c>
    </x:row>
    <x:row r="67" ht="30" customHeight="1">
      <x:c r="A67" s="3" t="str">
        <x:v>R062</x:v>
      </x:c>
      <x:c r="B67" s="3" t="str">
        <x:v>新品收据</x:v>
      </x:c>
      <x:c r="C67" s="3" t="str">
        <x:v>普通</x:v>
      </x:c>
      <x:c r="D67" s="3" t="str">
        <x:v>生产事件</x:v>
      </x:c>
      <x:c r="E67" s="3" t="str">
        <x:v>每正常生成1件临时产物，记分1。</x:v>
      </x:c>
      <x:c r="F67" s="3" t="str">
        <x:v>每回合最多10分；追加生产不触发</x:v>
      </x:c>
      <x:c r="G67" s="3" t="str">
        <x:v>通用</x:v>
      </x:c>
      <x:c r="H67" s="3" t="str">
        <x:v>Receipt（增益!D22）</x:v>
      </x:c>
    </x:row>
    <x:row r="68" ht="30" customHeight="1">
      <x:c r="A68" s="13" t="str">
        <x:v>R063</x:v>
      </x:c>
      <x:c r="B68" s="13" t="str">
        <x:v>圆形徽章</x:v>
      </x:c>
      <x:c r="C68" s="13" t="str">
        <x:v>普通</x:v>
      </x:c>
      <x:c r="D68" s="13" t="str">
        <x:v>结算加分</x:v>
      </x:c>
      <x:c r="E68" s="13" t="str">
        <x:v>标准形状类别为圆形的存活物品各+2。</x:v>
      </x:c>
      <x:c r="F68" s="13" t="str">
        <x:v>每件1次</x:v>
      </x:c>
      <x:c r="G68" s="13" t="str">
        <x:v>通用</x:v>
      </x:c>
      <x:c r="H68" s="13" t="str">
        <x:v>原创</x:v>
      </x:c>
    </x:row>
    <x:row r="69" ht="30" customHeight="1">
      <x:c r="A69" s="3" t="str">
        <x:v>R064</x:v>
      </x:c>
      <x:c r="B69" s="3" t="str">
        <x:v>方形徽章</x:v>
      </x:c>
      <x:c r="C69" s="3" t="str">
        <x:v>普通</x:v>
      </x:c>
      <x:c r="D69" s="3" t="str">
        <x:v>结算加分</x:v>
      </x:c>
      <x:c r="E69" s="3" t="str">
        <x:v>标准形状类别为方形的存活物品各+2。</x:v>
      </x:c>
      <x:c r="F69" s="3" t="str">
        <x:v>每件1次</x:v>
      </x:c>
      <x:c r="G69" s="3" t="str">
        <x:v>通用</x:v>
      </x:c>
      <x:c r="H69" s="3" t="str">
        <x:v>原创</x:v>
      </x:c>
    </x:row>
    <x:row r="70" ht="30" customHeight="1">
      <x:c r="A70" s="13" t="str">
        <x:v>R065</x:v>
      </x:c>
      <x:c r="B70" s="13" t="str">
        <x:v>混搭布袋</x:v>
      </x:c>
      <x:c r="C70" s="13" t="str">
        <x:v>优秀</x:v>
      </x:c>
      <x:c r="D70" s="13" t="str">
        <x:v>结算加分</x:v>
      </x:c>
      <x:c r="E70" s="13" t="str">
        <x:v>冻结时场上至少有4种标准形状类别时，所有初始抽取存活物品各+2。</x:v>
      </x:c>
      <x:c r="F70" s="13" t="str">
        <x:v>每件1次</x:v>
      </x:c>
      <x:c r="G70" s="13" t="str">
        <x:v>通用</x:v>
      </x:c>
      <x:c r="H70" s="13" t="str">
        <x:v>Disguise（触发器!D77）</x:v>
      </x:c>
    </x:row>
    <x:row r="71" ht="30" customHeight="1">
      <x:c r="A71" s="3" t="str">
        <x:v>R066</x:v>
      </x:c>
      <x:c r="B71" s="3" t="str">
        <x:v>普通奇迹</x:v>
      </x:c>
      <x:c r="C71" s="3" t="str">
        <x:v>优秀</x:v>
      </x:c>
      <x:c r="D71" s="3" t="str">
        <x:v>结算加分</x:v>
      </x:c>
      <x:c r="E71" s="3" t="str">
        <x:v>普通品质且存活的物品各+3。</x:v>
      </x:c>
      <x:c r="F71" s="3" t="str">
        <x:v>每件1次</x:v>
      </x:c>
      <x:c r="G71" s="3" t="str">
        <x:v>通用</x:v>
      </x:c>
      <x:c r="H71" s="3" t="str">
        <x:v>原创</x:v>
      </x:c>
    </x:row>
    <x:row r="72" ht="30" customHeight="1">
      <x:c r="A72" s="13" t="str">
        <x:v>R067</x:v>
      </x:c>
      <x:c r="B72" s="13" t="str">
        <x:v>孤品展柜</x:v>
      </x:c>
      <x:c r="C72" s="13" t="str">
        <x:v>稀有</x:v>
      </x:c>
      <x:c r="D72" s="13" t="str">
        <x:v>结算倍率</x:v>
      </x:c>
      <x:c r="E72" s="13" t="str">
        <x:v>冻结时名称在场上仅出现1次的物品获得+25%倍率。</x:v>
      </x:c>
      <x:c r="F72" s="13" t="str">
        <x:v>每件1次</x:v>
      </x:c>
      <x:c r="G72" s="13" t="str">
        <x:v>通用</x:v>
      </x:c>
      <x:c r="H72" s="13" t="str">
        <x:v>Deodorant（增益!D47）</x:v>
      </x:c>
    </x:row>
    <x:row r="73" ht="30" customHeight="1">
      <x:c r="A73" s="3" t="str">
        <x:v>R068</x:v>
      </x:c>
      <x:c r="B73" s="3" t="str">
        <x:v>结伴绳结</x:v>
      </x:c>
      <x:c r="C73" s="3" t="str">
        <x:v>优秀</x:v>
      </x:c>
      <x:c r="D73" s="3" t="str">
        <x:v>结算加分</x:v>
      </x:c>
      <x:c r="E73" s="3" t="str">
        <x:v>冻结时恰好接触1个其他物品的物品，各+4。</x:v>
      </x:c>
      <x:c r="F73" s="3" t="str">
        <x:v>每件1次</x:v>
      </x:c>
      <x:c r="G73" s="3" t="str">
        <x:v>通用</x:v>
      </x:c>
      <x:c r="H73" s="3" t="str">
        <x:v>原创</x:v>
      </x:c>
    </x:row>
    <x:row r="74" ht="30" customHeight="1">
      <x:c r="A74" s="13" t="str">
        <x:v>R069</x:v>
      </x:c>
      <x:c r="B74" s="13" t="str">
        <x:v>拥挤奖券</x:v>
      </x:c>
      <x:c r="C74" s="13" t="str">
        <x:v>稀有</x:v>
      </x:c>
      <x:c r="D74" s="13" t="str">
        <x:v>结算加分</x:v>
      </x:c>
      <x:c r="E74" s="13" t="str">
        <x:v>冻结时场上至少24件物品，所有临时产物各+2。</x:v>
      </x:c>
      <x:c r="F74" s="13" t="str">
        <x:v>每件1次</x:v>
      </x:c>
      <x:c r="G74" s="13" t="str">
        <x:v>通用</x:v>
      </x:c>
      <x:c r="H74" s="13" t="str">
        <x:v>原创</x:v>
      </x:c>
    </x:row>
    <x:row r="75" ht="30" customHeight="1">
      <x:c r="A75" s="3" t="str">
        <x:v>R070</x:v>
      </x:c>
      <x:c r="B75" s="3" t="str">
        <x:v>精选名册</x:v>
      </x:c>
      <x:c r="C75" s="3" t="str">
        <x:v>稀有</x:v>
      </x:c>
      <x:c r="D75" s="3" t="str">
        <x:v>结算倍率</x:v>
      </x:c>
      <x:c r="E75" s="3" t="str">
        <x:v>冻结时场上不超过12件物品，所有存活物品获得+25%倍率。</x:v>
      </x:c>
      <x:c r="F75" s="3" t="str">
        <x:v>每件1次；初始仍抽16件</x:v>
      </x:c>
      <x:c r="G75" s="3" t="str">
        <x:v>通用</x:v>
      </x:c>
      <x:c r="H75" s="3" t="str">
        <x:v>Deodorant（增益!D47）</x:v>
      </x:c>
    </x:row>
    <x:row r="76" ht="30" customHeight="1">
      <x:c r="A76" s="13" t="str">
        <x:v>R071</x:v>
      </x:c>
      <x:c r="B76" s="13" t="str">
        <x:v>首遇礼物</x:v>
      </x:c>
      <x:c r="C76" s="13" t="str">
        <x:v>普通</x:v>
      </x:c>
      <x:c r="D76" s="13" t="str">
        <x:v>接触</x:v>
      </x:c>
      <x:c r="E76" s="13" t="str">
        <x:v>初始抽取物品本回合首次接触其他实例时，自己+1。</x:v>
      </x:c>
      <x:c r="F76" s="13" t="str">
        <x:v>每初始实例1次</x:v>
      </x:c>
      <x:c r="G76" s="13" t="str">
        <x:v>通用</x:v>
      </x:c>
      <x:c r="H76" s="13" t="str">
        <x:v>原创</x:v>
      </x:c>
    </x:row>
    <x:row r="77" ht="30" customHeight="1">
      <x:c r="A77" s="3" t="str">
        <x:v>R072</x:v>
      </x:c>
      <x:c r="B77" s="3" t="str">
        <x:v>最后一页</x:v>
      </x:c>
      <x:c r="C77" s="3" t="str">
        <x:v>稀有</x:v>
      </x:c>
      <x:c r="D77" s="3" t="str">
        <x:v>阶段末回合</x:v>
      </x:c>
      <x:c r="E77" s="3" t="str">
        <x:v>每5回合中的第5回合，所有初始抽取存活物品各+3。</x:v>
      </x:c>
      <x:c r="F77" s="3" t="str">
        <x:v>结算加分；不改变检查时机</x:v>
      </x:c>
      <x:c r="G77" s="3" t="str">
        <x:v>通用</x:v>
      </x:c>
      <x:c r="H77" s="3" t="str">
        <x:v>Winner's Cup（增益!D30）</x:v>
      </x:c>
    </x:row>
    <x:row r="78" ht="30" customHeight="1">
      <x:c r="A78" s="13" t="str">
        <x:v>R073</x:v>
      </x:c>
      <x:c r="B78" s="13" t="str">
        <x:v>开场序曲</x:v>
      </x:c>
      <x:c r="C78" s="13" t="str">
        <x:v>优秀</x:v>
      </x:c>
      <x:c r="D78" s="13" t="str">
        <x:v>阶段首回合</x:v>
      </x:c>
      <x:c r="E78" s="13" t="str">
        <x:v>每5回合中的第1回合，所有初始抽取存活物品各+3。</x:v>
      </x:c>
      <x:c r="F78" s="13" t="str">
        <x:v>结算加分</x:v>
      </x:c>
      <x:c r="G78" s="13" t="str">
        <x:v>通用</x:v>
      </x:c>
      <x:c r="H78" s="13" t="str">
        <x:v>原创</x:v>
      </x:c>
    </x:row>
    <x:row r="79" ht="30" customHeight="1">
      <x:c r="A79" s="3" t="str">
        <x:v>R074</x:v>
      </x:c>
      <x:c r="B79" s="3" t="str">
        <x:v>广交朋友</x:v>
      </x:c>
      <x:c r="C79" s="3" t="str">
        <x:v>优秀</x:v>
      </x:c>
      <x:c r="D79" s="3" t="str">
        <x:v>结算加分</x:v>
      </x:c>
      <x:c r="E79" s="3" t="str">
        <x:v>本回合接触过至少5个不同实例的存活物品各+3。</x:v>
      </x:c>
      <x:c r="F79" s="3" t="str">
        <x:v>每件1次；不检查摇晃力度</x:v>
      </x:c>
      <x:c r="G79" s="3" t="str">
        <x:v>通用</x:v>
      </x:c>
      <x:c r="H79" s="3" t="str">
        <x:v>原创</x:v>
      </x:c>
    </x:row>
    <x:row r="80" ht="30" customHeight="1">
      <x:c r="A80" s="13" t="str">
        <x:v>R075</x:v>
      </x:c>
      <x:c r="B80" s="13" t="str">
        <x:v>熟面孔</x:v>
      </x:c>
      <x:c r="C80" s="13" t="str">
        <x:v>优秀</x:v>
      </x:c>
      <x:c r="D80" s="13" t="str">
        <x:v>结算加分</x:v>
      </x:c>
      <x:c r="E80" s="13" t="str">
        <x:v>本回合接触过至少2件与自己同名物品的存活物品各+4。</x:v>
      </x:c>
      <x:c r="F80" s="13" t="str">
        <x:v>每件1次</x:v>
      </x:c>
      <x:c r="G80" s="13" t="str">
        <x:v>通用</x:v>
      </x:c>
      <x:c r="H80" s="13" t="str">
        <x:v>Clover（触发器!D40）</x:v>
      </x:c>
    </x:row>
    <x:row r="81" ht="30" customHeight="1">
      <x:c r="A81" s="3" t="str">
        <x:v>R076</x:v>
      </x:c>
      <x:c r="B81" s="3" t="str">
        <x:v>收官红利</x:v>
      </x:c>
      <x:c r="C81" s="3" t="str">
        <x:v>史诗</x:v>
      </x:c>
      <x:c r="D81" s="3" t="str">
        <x:v>总分汇总</x:v>
      </x:c>
      <x:c r="E81" s="3" t="str">
        <x:v>本回合事件记分E至少为30时，再记分15。</x:v>
      </x:c>
      <x:c r="F81" s="3" t="str">
        <x:v>1次；不把自身15分计入条件</x:v>
      </x:c>
      <x:c r="G81" s="3" t="str">
        <x:v>通用</x:v>
      </x:c>
      <x:c r="H81" s="3" t="str">
        <x:v>原创</x:v>
      </x:c>
    </x:row>
    <x:row r="82" ht="30" customHeight="1">
      <x:c r="A82" s="13" t="str">
        <x:v>R077</x:v>
      </x:c>
      <x:c r="B82" s="13" t="str">
        <x:v>成长档案</x:v>
      </x:c>
      <x:c r="C82" s="13" t="str">
        <x:v>稀有</x:v>
      </x:c>
      <x:c r="D82" s="13" t="str">
        <x:v>结算末</x:v>
      </x:c>
      <x:c r="E82" s="13" t="str">
        <x:v>本回合至少3个不同实例成功获得永久成长时，额外记分12。</x:v>
      </x:c>
      <x:c r="F82" s="13" t="str">
        <x:v>1次；此记分在本回合最终总分追加</x:v>
      </x:c>
      <x:c r="G82" s="13" t="str">
        <x:v>通用</x:v>
      </x:c>
      <x:c r="H82" s="13" t="str">
        <x:v>Growth Serum（增益!D52）</x:v>
      </x:c>
    </x:row>
    <x:row r="83" ht="30" customHeight="1">
      <x:c r="A83" s="3" t="str">
        <x:v>R078</x:v>
      </x:c>
      <x:c r="B83" s="3" t="str">
        <x:v>均衡阵容</x:v>
      </x:c>
      <x:c r="C83" s="3" t="str">
        <x:v>稀有</x:v>
      </x:c>
      <x:c r="D83" s="3" t="str">
        <x:v>结算加分</x:v>
      </x:c>
      <x:c r="E83" s="3" t="str">
        <x:v>冻结时初始抽取存活物品至少覆盖6个主流派，且任一主流派不超过4件时，它们各+3。</x:v>
      </x:c>
      <x:c r="F83" s="3" t="str">
        <x:v>只统计初始抽取物品</x:v>
      </x:c>
      <x:c r="G83" s="3" t="str">
        <x:v>通用</x:v>
      </x:c>
      <x:c r="H83" s="3" t="str">
        <x:v>原创</x:v>
      </x:c>
    </x:row>
    <x:row r="84" ht="30" customHeight="1">
      <x:c r="A84" s="13" t="str">
        <x:v>R079</x:v>
      </x:c>
      <x:c r="B84" s="13" t="str">
        <x:v>邻里公约</x:v>
      </x:c>
      <x:c r="C84" s="13" t="str">
        <x:v>稀有</x:v>
      </x:c>
      <x:c r="D84" s="13" t="str">
        <x:v>结算倍率</x:v>
      </x:c>
      <x:c r="E84" s="13" t="str">
        <x:v>冻结时恰好接触2个其他实例、且两者主流派不同的物品，获得+25%倍率。</x:v>
      </x:c>
      <x:c r="F84" s="13" t="str">
        <x:v>每件1次</x:v>
      </x:c>
      <x:c r="G84" s="13" t="str">
        <x:v>通用</x:v>
      </x:c>
      <x:c r="H84" s="13" t="str">
        <x:v>原创</x:v>
      </x:c>
    </x:row>
    <x:row r="85" ht="30" customHeight="1">
      <x:c r="A85" s="3" t="str">
        <x:v>R080</x:v>
      </x:c>
      <x:c r="B85" s="3" t="str">
        <x:v>接触见证</x:v>
      </x:c>
      <x:c r="C85" s="3" t="str">
        <x:v>史诗</x:v>
      </x:c>
      <x:c r="D85" s="3" t="str">
        <x:v>结算加分</x:v>
      </x:c>
      <x:c r="E85" s="3" t="str">
        <x:v>本回合至少发生过消耗、生产、增值三类事件时，所有初始抽取存活物品各+4。</x:v>
      </x:c>
      <x:c r="F85" s="3" t="str">
        <x:v>每件1次；只计成功事件</x:v>
      </x:c>
      <x:c r="G85" s="3" t="str">
        <x:v>通用</x:v>
      </x:c>
      <x:c r="H85" s="3" t="str">
        <x:v>原创</x:v>
      </x:c>
    </x:row>
  </x:sheetData>
  <x:conditionalFormatting sqref="C6:C85">
    <x:cfRule type="containsText" dxfId="3" priority="1" operator="containsText" text="稀有"/>
    <x:cfRule type="containsText" dxfId="4" priority="2" operator="containsText" text="史诗"/>
    <x:cfRule type="containsText" dxfId="5" priority="3" operator="containsText" text="优秀"/>
  </x:conditionalFormatting>
  <x:pageMargins left="0.7" right="0.7" top="0.75" bottom="0.75" header="0.3" footer="0.3"/>
  <x:tableParts count="1">
    <x:tablePart xmlns:r="http://schemas.openxmlformats.org/officeDocument/2006/relationships" r:id="R64b4cb73105b4875"/>
  </x:tableParts>
</x:worksheet>
</file>

<file path=xl/worksheets/sheet3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9" hidden="0" customWidth="1"/>
    <x:col min="4" max="4" width="9" hidden="0" customWidth="1"/>
    <x:col min="5" max="5" width="58" hidden="0" customWidth="1"/>
    <x:col min="6" max="6" width="42" hidden="0" customWidth="1"/>
    <x:col min="7" max="7" width="34" hidden="0" customWidth="1"/>
    <x:col min="8" max="8" width="10" hidden="0" customWidth="1"/>
    <x:col min="9" max="9" width="27" hidden="0" customWidth="1"/>
    <x:col min="10" max="10" width="15" hidden="0" customWidth="1"/>
    <x:col min="11" max="11" width="13" hidden="0" customWidth="1"/>
    <x:col min="12" max="12" width="4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产物与进阶物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8" t="str">
        <x:v>30种临时产物，2种永久进阶物；不进入常规三选一。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 ht="30" customHeight="1">
      <x:c r="A5" s="12" t="str">
        <x:v>ID</x:v>
      </x:c>
      <x:c r="B5" s="12" t="str">
        <x:v>名称</x:v>
      </x:c>
      <x:c r="C5" s="12" t="str">
        <x:v>品质</x:v>
      </x:c>
      <x:c r="D5" s="12" t="str">
        <x:v>基础分</x:v>
      </x:c>
      <x:c r="E5" s="12" t="str">
        <x:v>能力</x:v>
      </x:c>
      <x:c r="F5" s="12" t="str">
        <x:v>来源</x:v>
      </x:c>
      <x:c r="G5" s="12" t="str">
        <x:v>存续</x:v>
      </x:c>
      <x:c r="H5" s="12" t="str">
        <x:v>主流派</x:v>
      </x:c>
      <x:c r="I5" s="12" t="str">
        <x:v>标签</x:v>
      </x:c>
      <x:c r="J5" s="12" t="str">
        <x:v>外观形状</x:v>
      </x:c>
      <x:c r="K5" s="12" t="str">
        <x:v>标准形状</x:v>
      </x:c>
      <x:c r="L5" s="12" t="str">
        <x:v>原表参考</x:v>
      </x:c>
    </x:row>
    <x:row r="6" ht="30" customHeight="1">
      <x:c r="A6" s="13" t="str">
        <x:v>P001</x:v>
      </x:c>
      <x:c r="B6" s="13" t="str">
        <x:v>热餐</x:v>
      </x:c>
      <x:c r="C6" s="13" t="str">
        <x:v>稀有</x:v>
      </x:c>
      <x:c r="D6" s="14" t="n">
        <x:v>8</x:v>
      </x:c>
      <x:c r="E6" s="13" t="str">
        <x:v>无额外能力</x:v>
      </x:c>
      <x:c r="F6" s="13" t="str">
        <x:v>平底锅</x:v>
      </x:c>
      <x:c r="G6" s="13" t="str">
        <x:v>临时生成；不入牌库</x:v>
      </x:c>
      <x:c r="H6" s="13" t="str">
        <x:v>烹饪</x:v>
      </x:c>
      <x:c r="I6" s="13" t="str">
        <x:v>食物、餐食</x:v>
      </x:c>
      <x:c r="J6" s="13" t="str">
        <x:v>扁圆形</x:v>
      </x:c>
      <x:c r="K6" s="13" t="str">
        <x:v>圆形</x:v>
      </x:c>
      <x:c r="L6" s="13" t="str">
        <x:v>Chef's Pan（触发器!D39）</x:v>
      </x:c>
    </x:row>
    <x:row r="7" ht="30" customHeight="1">
      <x:c r="A7" s="3" t="str">
        <x:v>P002</x:v>
      </x:c>
      <x:c r="B7" s="3" t="str">
        <x:v>烤吐司</x:v>
      </x:c>
      <x:c r="C7" s="3" t="str">
        <x:v>优秀</x:v>
      </x:c>
      <x:c r="D7" s="15" t="n">
        <x:v>7</x:v>
      </x:c>
      <x:c r="E7" s="3" t="str">
        <x:v>被烹饪物品消耗时额外记分3</x:v>
      </x:c>
      <x:c r="F7" s="3" t="str">
        <x:v>烤面包架</x:v>
      </x:c>
      <x:c r="G7" s="3" t="str">
        <x:v>临时生成；不入牌库</x:v>
      </x:c>
      <x:c r="H7" s="3" t="str">
        <x:v>烹饪</x:v>
      </x:c>
      <x:c r="I7" s="3" t="str">
        <x:v>食物、餐食</x:v>
      </x:c>
      <x:c r="J7" s="3" t="str">
        <x:v>圆角方形</x:v>
      </x:c>
      <x:c r="K7" s="3" t="str">
        <x:v>方形</x:v>
      </x:c>
      <x:c r="L7" s="3" t="str">
        <x:v>Bread（触发器!D6）</x:v>
      </x:c>
    </x:row>
    <x:row r="8" ht="30" customHeight="1">
      <x:c r="A8" s="13" t="str">
        <x:v>P003</x:v>
      </x:c>
      <x:c r="B8" s="13" t="str">
        <x:v>水珠</x:v>
      </x:c>
      <x:c r="C8" s="13" t="str">
        <x:v>普通</x:v>
      </x:c>
      <x:c r="D8" s="14" t="n">
        <x:v>1</x:v>
      </x:c>
      <x:c r="E8" s="13" t="str">
        <x:v>无额外能力</x:v>
      </x:c>
      <x:c r="F8" s="13" t="str">
        <x:v>雨云、冰块、泉眼、换热器</x:v>
      </x:c>
      <x:c r="G8" s="13" t="str">
        <x:v>临时生成；不入牌库</x:v>
      </x:c>
      <x:c r="H8" s="13" t="str">
        <x:v>元素</x:v>
      </x:c>
      <x:c r="I8" s="13" t="str">
        <x:v>水元素</x:v>
      </x:c>
      <x:c r="J8" s="13" t="str">
        <x:v>圆形</x:v>
      </x:c>
      <x:c r="K8" s="13" t="str">
        <x:v>圆形</x:v>
      </x:c>
      <x:c r="L8" s="13" t="str">
        <x:v>Ice Cubes（触发器!D16）；Lake（触发器!D49）</x:v>
      </x:c>
    </x:row>
    <x:row r="9" ht="30" customHeight="1">
      <x:c r="A9" s="3" t="str">
        <x:v>P004</x:v>
      </x:c>
      <x:c r="B9" s="3" t="str">
        <x:v>嫩芽</x:v>
      </x:c>
      <x:c r="C9" s="3" t="str">
        <x:v>优秀</x:v>
      </x:c>
      <x:c r="D9" s="15" t="n">
        <x:v>4</x:v>
      </x:c>
      <x:c r="E9" s="3" t="str">
        <x:v>无额外能力</x:v>
      </x:c>
      <x:c r="F9" s="3" t="str">
        <x:v>幼苗</x:v>
      </x:c>
      <x:c r="G9" s="3" t="str">
        <x:v>临时生成；不入牌库</x:v>
      </x:c>
      <x:c r="H9" s="3" t="str">
        <x:v>种植</x:v>
      </x:c>
      <x:c r="I9" s="3" t="str">
        <x:v>植物</x:v>
      </x:c>
      <x:c r="J9" s="3" t="str">
        <x:v>小三角形</x:v>
      </x:c>
      <x:c r="K9" s="3" t="str">
        <x:v>三角形</x:v>
      </x:c>
      <x:c r="L9" s="3" t="str">
        <x:v>Seedling（触发器!D24）</x:v>
      </x:c>
    </x:row>
    <x:row r="10" ht="30" customHeight="1">
      <x:c r="A10" s="13" t="str">
        <x:v>P005</x:v>
      </x:c>
      <x:c r="B10" s="13" t="str">
        <x:v>葡萄</x:v>
      </x:c>
      <x:c r="C10" s="13" t="str">
        <x:v>普通</x:v>
      </x:c>
      <x:c r="D10" s="14" t="n">
        <x:v>2</x:v>
      </x:c>
      <x:c r="E10" s="13" t="str">
        <x:v>无额外能力</x:v>
      </x:c>
      <x:c r="F10" s="13" t="str">
        <x:v>葡萄藤</x:v>
      </x:c>
      <x:c r="G10" s="13" t="str">
        <x:v>临时生成；不入牌库</x:v>
      </x:c>
      <x:c r="H10" s="13" t="str">
        <x:v>种植</x:v>
      </x:c>
      <x:c r="I10" s="13" t="str">
        <x:v>植物、食物、食材</x:v>
      </x:c>
      <x:c r="J10" s="13" t="str">
        <x:v>圆形</x:v>
      </x:c>
      <x:c r="K10" s="13" t="str">
        <x:v>圆形</x:v>
      </x:c>
      <x:c r="L10" s="13" t="str">
        <x:v>Grape Vine（触发器!D44）</x:v>
      </x:c>
    </x:row>
    <x:row r="11" ht="30" customHeight="1">
      <x:c r="A11" s="3" t="str">
        <x:v>P006</x:v>
      </x:c>
      <x:c r="B11" s="3" t="str">
        <x:v>苹果</x:v>
      </x:c>
      <x:c r="C11" s="3" t="str">
        <x:v>普通</x:v>
      </x:c>
      <x:c r="D11" s="15" t="n">
        <x:v>3</x:v>
      </x:c>
      <x:c r="E11" s="3" t="str">
        <x:v>无额外能力</x:v>
      </x:c>
      <x:c r="F11" s="3" t="str">
        <x:v>果树</x:v>
      </x:c>
      <x:c r="G11" s="3" t="str">
        <x:v>临时生成；不入牌库</x:v>
      </x:c>
      <x:c r="H11" s="3" t="str">
        <x:v>种植</x:v>
      </x:c>
      <x:c r="I11" s="3" t="str">
        <x:v>植物、食物、食材</x:v>
      </x:c>
      <x:c r="J11" s="3" t="str">
        <x:v>圆形</x:v>
      </x:c>
      <x:c r="K11" s="3" t="str">
        <x:v>圆形</x:v>
      </x:c>
      <x:c r="L11" s="3" t="str">
        <x:v>Tree（触发器!D28）</x:v>
      </x:c>
    </x:row>
    <x:row r="12" ht="30" customHeight="1">
      <x:c r="A12" s="13" t="str">
        <x:v>P007</x:v>
      </x:c>
      <x:c r="B12" s="13" t="str">
        <x:v>蜂蜜</x:v>
      </x:c>
      <x:c r="C12" s="13" t="str">
        <x:v>优秀</x:v>
      </x:c>
      <x:c r="D12" s="14" t="n">
        <x:v>5</x:v>
      </x:c>
      <x:c r="E12" s="13" t="str">
        <x:v>无额外能力</x:v>
      </x:c>
      <x:c r="F12" s="13" t="str">
        <x:v>蜜蜂</x:v>
      </x:c>
      <x:c r="G12" s="13" t="str">
        <x:v>临时生成；不入牌库</x:v>
      </x:c>
      <x:c r="H12" s="13" t="str">
        <x:v>种植</x:v>
      </x:c>
      <x:c r="I12" s="13" t="str">
        <x:v>食物、食材</x:v>
      </x:c>
      <x:c r="J12" s="13" t="str">
        <x:v>水滴形</x:v>
      </x:c>
      <x:c r="K12" s="13" t="str">
        <x:v>不规则形</x:v>
      </x:c>
      <x:c r="L12" s="13" t="str">
        <x:v>原创</x:v>
      </x:c>
    </x:row>
    <x:row r="13" ht="30" customHeight="1">
      <x:c r="A13" s="3" t="str">
        <x:v>P008</x:v>
      </x:c>
      <x:c r="B13" s="3" t="str">
        <x:v>蛋</x:v>
      </x:c>
      <x:c r="C13" s="3" t="str">
        <x:v>普通</x:v>
      </x:c>
      <x:c r="D13" s="15" t="n">
        <x:v>2</x:v>
      </x:c>
      <x:c r="E13" s="3" t="str">
        <x:v>无额外能力</x:v>
      </x:c>
      <x:c r="F13" s="3" t="str">
        <x:v>鸟巢、母鸡</x:v>
      </x:c>
      <x:c r="G13" s="3" t="str">
        <x:v>临时生成；不入牌库</x:v>
      </x:c>
      <x:c r="H13" s="3" t="str">
        <x:v>牧场</x:v>
      </x:c>
      <x:c r="I13" s="3" t="str">
        <x:v>牧场、食材</x:v>
      </x:c>
      <x:c r="J13" s="3" t="str">
        <x:v>椭圆形</x:v>
      </x:c>
      <x:c r="K13" s="3" t="str">
        <x:v>不规则形</x:v>
      </x:c>
      <x:c r="L13" s="3" t="str">
        <x:v>Nest（触发器!D20）；Chicken（触发器!D71）</x:v>
      </x:c>
    </x:row>
    <x:row r="14" ht="30" customHeight="1">
      <x:c r="A14" s="13" t="str">
        <x:v>P009</x:v>
      </x:c>
      <x:c r="B14" s="13" t="str">
        <x:v>牛奶</x:v>
      </x:c>
      <x:c r="C14" s="13" t="str">
        <x:v>优秀</x:v>
      </x:c>
      <x:c r="D14" s="14" t="n">
        <x:v>5</x:v>
      </x:c>
      <x:c r="E14" s="13" t="str">
        <x:v>无额外能力</x:v>
      </x:c>
      <x:c r="F14" s="13" t="str">
        <x:v>奶牛</x:v>
      </x:c>
      <x:c r="G14" s="13" t="str">
        <x:v>临时生成；不入牌库</x:v>
      </x:c>
      <x:c r="H14" s="13" t="str">
        <x:v>牧场</x:v>
      </x:c>
      <x:c r="I14" s="13" t="str">
        <x:v>食物、食材</x:v>
      </x:c>
      <x:c r="J14" s="13" t="str">
        <x:v>胶囊形</x:v>
      </x:c>
      <x:c r="K14" s="13" t="str">
        <x:v>长条形</x:v>
      </x:c>
      <x:c r="L14" s="13" t="str">
        <x:v>原创</x:v>
      </x:c>
    </x:row>
    <x:row r="15" ht="30" customHeight="1">
      <x:c r="A15" s="3" t="str">
        <x:v>P010</x:v>
      </x:c>
      <x:c r="B15" s="3" t="str">
        <x:v>羊毛</x:v>
      </x:c>
      <x:c r="C15" s="3" t="str">
        <x:v>优秀</x:v>
      </x:c>
      <x:c r="D15" s="15" t="n">
        <x:v>4</x:v>
      </x:c>
      <x:c r="E15" s="3" t="str">
        <x:v>无额外能力</x:v>
      </x:c>
      <x:c r="F15" s="3" t="str">
        <x:v>绵羊</x:v>
      </x:c>
      <x:c r="G15" s="3" t="str">
        <x:v>临时生成；不入牌库</x:v>
      </x:c>
      <x:c r="H15" s="3" t="str">
        <x:v>牧场</x:v>
      </x:c>
      <x:c r="I15" s="3" t="str">
        <x:v>牧场、消耗材料</x:v>
      </x:c>
      <x:c r="J15" s="3" t="str">
        <x:v>云朵形</x:v>
      </x:c>
      <x:c r="K15" s="3" t="str">
        <x:v>不规则形</x:v>
      </x:c>
      <x:c r="L15" s="3" t="str">
        <x:v>原创</x:v>
      </x:c>
    </x:row>
    <x:row r="16" ht="30" customHeight="1">
      <x:c r="A16" s="13" t="str">
        <x:v>P011</x:v>
      </x:c>
      <x:c r="B16" s="13" t="str">
        <x:v>雏鸟</x:v>
      </x:c>
      <x:c r="C16" s="13" t="str">
        <x:v>优秀</x:v>
      </x:c>
      <x:c r="D16" s="14" t="n">
        <x:v>6</x:v>
      </x:c>
      <x:c r="E16" s="13" t="str">
        <x:v>无额外能力</x:v>
      </x:c>
      <x:c r="F16" s="13" t="str">
        <x:v>孵化器</x:v>
      </x:c>
      <x:c r="G16" s="13" t="str">
        <x:v>临时生成；不入牌库</x:v>
      </x:c>
      <x:c r="H16" s="13" t="str">
        <x:v>牧场</x:v>
      </x:c>
      <x:c r="I16" s="13" t="str">
        <x:v>动物</x:v>
      </x:c>
      <x:c r="J16" s="13" t="str">
        <x:v>水滴形</x:v>
      </x:c>
      <x:c r="K16" s="13" t="str">
        <x:v>不规则形</x:v>
      </x:c>
      <x:c r="L16" s="13" t="str">
        <x:v>Chicken（触发器!D71）</x:v>
      </x:c>
    </x:row>
    <x:row r="17" ht="30" customHeight="1">
      <x:c r="A17" s="3" t="str">
        <x:v>P012</x:v>
      </x:c>
      <x:c r="B17" s="3" t="str">
        <x:v>彩翼蝶</x:v>
      </x:c>
      <x:c r="C17" s="3" t="str">
        <x:v>稀有</x:v>
      </x:c>
      <x:c r="D17" s="15" t="n">
        <x:v>5</x:v>
      </x:c>
      <x:c r="E17" s="3" t="str">
        <x:v>每回合接触植物时使其+3，每目标1次、最多3个</x:v>
      </x:c>
      <x:c r="F17" s="3" t="str">
        <x:v>毛虫永久转化；原ID延续</x:v>
      </x:c>
      <x:c r="G17" s="3" t="str">
        <x:v>仅指定永久转化进入牌库</x:v>
      </x:c>
      <x:c r="H17" s="3" t="str">
        <x:v>牧场</x:v>
      </x:c>
      <x:c r="I17" s="3" t="str">
        <x:v>动物、植物辅助</x:v>
      </x:c>
      <x:c r="J17" s="3" t="str">
        <x:v>蝴蝶形</x:v>
      </x:c>
      <x:c r="K17" s="3" t="str">
        <x:v>不规则形</x:v>
      </x:c>
      <x:c r="L17" s="3" t="str">
        <x:v>Butterfly（触发器!D105）</x:v>
      </x:c>
    </x:row>
    <x:row r="18" ht="30" customHeight="1">
      <x:c r="A18" s="13" t="str">
        <x:v>P013</x:v>
      </x:c>
      <x:c r="B18" s="13" t="str">
        <x:v>小石子</x:v>
      </x:c>
      <x:c r="C18" s="13" t="str">
        <x:v>普通</x:v>
      </x:c>
      <x:c r="D18" s="14" t="n">
        <x:v>1</x:v>
      </x:c>
      <x:c r="E18" s="13" t="str">
        <x:v>无额外能力</x:v>
      </x:c>
      <x:c r="F18" s="13" t="str">
        <x:v>采石袋、矿工镐</x:v>
      </x:c>
      <x:c r="G18" s="13" t="str">
        <x:v>临时生成；不入牌库</x:v>
      </x:c>
      <x:c r="H18" s="13" t="str">
        <x:v>矿业</x:v>
      </x:c>
      <x:c r="I18" s="13" t="str">
        <x:v>矿石</x:v>
      </x:c>
      <x:c r="J18" s="13" t="str">
        <x:v>多边形</x:v>
      </x:c>
      <x:c r="K18" s="13" t="str">
        <x:v>不规则形</x:v>
      </x:c>
      <x:c r="L18" s="13" t="str">
        <x:v>Cairn（触发器!D34）</x:v>
      </x:c>
    </x:row>
    <x:row r="19" ht="30" customHeight="1">
      <x:c r="A19" s="3" t="str">
        <x:v>P014</x:v>
      </x:c>
      <x:c r="B19" s="3" t="str">
        <x:v>晶屑</x:v>
      </x:c>
      <x:c r="C19" s="3" t="str">
        <x:v>优秀</x:v>
      </x:c>
      <x:c r="D19" s="15" t="n">
        <x:v>4</x:v>
      </x:c>
      <x:c r="E19" s="3" t="str">
        <x:v>无额外能力；来源可以明确覆盖基础分</x:v>
      </x:c>
      <x:c r="F19" s="3" t="str">
        <x:v>碎石机、宝石原胚、宝箱</x:v>
      </x:c>
      <x:c r="G19" s="3" t="str">
        <x:v>临时生成；不入牌库</x:v>
      </x:c>
      <x:c r="H19" s="3" t="str">
        <x:v>矿业</x:v>
      </x:c>
      <x:c r="I19" s="3" t="str">
        <x:v>宝石</x:v>
      </x:c>
      <x:c r="J19" s="3" t="str">
        <x:v>菱形</x:v>
      </x:c>
      <x:c r="K19" s="3" t="str">
        <x:v>不规则形</x:v>
      </x:c>
      <x:c r="L19" s="3" t="str">
        <x:v>Gem Mine（触发器!D79）</x:v>
      </x:c>
    </x:row>
    <x:row r="20" ht="30" customHeight="1">
      <x:c r="A20" s="13" t="str">
        <x:v>P015</x:v>
      </x:c>
      <x:c r="B20" s="13" t="str">
        <x:v>金砂</x:v>
      </x:c>
      <x:c r="C20" s="13" t="str">
        <x:v>优秀</x:v>
      </x:c>
      <x:c r="D20" s="14" t="n">
        <x:v>4</x:v>
      </x:c>
      <x:c r="E20" s="13" t="str">
        <x:v>无额外能力</x:v>
      </x:c>
      <x:c r="F20" s="13" t="str">
        <x:v>碎石机</x:v>
      </x:c>
      <x:c r="G20" s="13" t="str">
        <x:v>临时生成；不入牌库</x:v>
      </x:c>
      <x:c r="H20" s="13" t="str">
        <x:v>矿业</x:v>
      </x:c>
      <x:c r="I20" s="13" t="str">
        <x:v>矿石、金属、货币</x:v>
      </x:c>
      <x:c r="J20" s="13" t="str">
        <x:v>小圆形</x:v>
      </x:c>
      <x:c r="K20" s="13" t="str">
        <x:v>圆形</x:v>
      </x:c>
      <x:c r="L20" s="13" t="str">
        <x:v>Rock Crusher（触发器!D92）</x:v>
      </x:c>
    </x:row>
    <x:row r="21" ht="30" customHeight="1">
      <x:c r="A21" s="3" t="str">
        <x:v>P016</x:v>
      </x:c>
      <x:c r="B21" s="3" t="str">
        <x:v>金属锭</x:v>
      </x:c>
      <x:c r="C21" s="3" t="str">
        <x:v>稀有</x:v>
      </x:c>
      <x:c r="D21" s="15" t="n">
        <x:v>4</x:v>
      </x:c>
      <x:c r="E21" s="3" t="str">
        <x:v>无额外能力；基础分另加来源记载的两份存入值</x:v>
      </x:c>
      <x:c r="F21" s="3" t="str">
        <x:v>熔炉</x:v>
      </x:c>
      <x:c r="G21" s="3" t="str">
        <x:v>临时生成；不入牌库</x:v>
      </x:c>
      <x:c r="H21" s="3" t="str">
        <x:v>矿业</x:v>
      </x:c>
      <x:c r="I21" s="3" t="str">
        <x:v>金属</x:v>
      </x:c>
      <x:c r="J21" s="3" t="str">
        <x:v>梯形</x:v>
      </x:c>
      <x:c r="K21" s="3" t="str">
        <x:v>不规则形</x:v>
      </x:c>
      <x:c r="L21" s="3" t="str">
        <x:v>Kiln（触发器!D83）</x:v>
      </x:c>
    </x:row>
    <x:row r="22" ht="30" customHeight="1">
      <x:c r="A22" s="13" t="str">
        <x:v>P017</x:v>
      </x:c>
      <x:c r="B22" s="13" t="str">
        <x:v>火星</x:v>
      </x:c>
      <x:c r="C22" s="13" t="str">
        <x:v>普通</x:v>
      </x:c>
      <x:c r="D22" s="14" t="n">
        <x:v>1</x:v>
      </x:c>
      <x:c r="E22" s="13" t="str">
        <x:v>被消耗时额外记分1</x:v>
      </x:c>
      <x:c r="F22" s="13" t="str">
        <x:v>小火山、换热器</x:v>
      </x:c>
      <x:c r="G22" s="13" t="str">
        <x:v>临时生成；不入牌库</x:v>
      </x:c>
      <x:c r="H22" s="13" t="str">
        <x:v>元素</x:v>
      </x:c>
      <x:c r="I22" s="13" t="str">
        <x:v>火元素</x:v>
      </x:c>
      <x:c r="J22" s="13" t="str">
        <x:v>小三角形</x:v>
      </x:c>
      <x:c r="K22" s="13" t="str">
        <x:v>三角形</x:v>
      </x:c>
      <x:c r="L22" s="13" t="str">
        <x:v>Spell of Ignition（触发器!D124）</x:v>
      </x:c>
    </x:row>
    <x:row r="23" ht="30" customHeight="1">
      <x:c r="A23" s="3" t="str">
        <x:v>P018</x:v>
      </x:c>
      <x:c r="B23" s="3" t="str">
        <x:v>礼花</x:v>
      </x:c>
      <x:c r="C23" s="3" t="str">
        <x:v>优秀</x:v>
      </x:c>
      <x:c r="D23" s="15" t="n">
        <x:v>4</x:v>
      </x:c>
      <x:c r="E23" s="3" t="str">
        <x:v>无额外能力</x:v>
      </x:c>
      <x:c r="F23" s="3" t="str">
        <x:v>鞭炮</x:v>
      </x:c>
      <x:c r="G23" s="3" t="str">
        <x:v>临时生成；不入牌库</x:v>
      </x:c>
      <x:c r="H23" s="3" t="str">
        <x:v>元素</x:v>
      </x:c>
      <x:c r="I23" s="3" t="str">
        <x:v>火元素</x:v>
      </x:c>
      <x:c r="J23" s="3" t="str">
        <x:v>星形</x:v>
      </x:c>
      <x:c r="K23" s="3" t="str">
        <x:v>不规则形</x:v>
      </x:c>
      <x:c r="L23" s="3" t="str">
        <x:v>Firecracker（触发器!D42）</x:v>
      </x:c>
    </x:row>
    <x:row r="24" ht="30" customHeight="1">
      <x:c r="A24" s="13" t="str">
        <x:v>P019</x:v>
      </x:c>
      <x:c r="B24" s="13" t="str">
        <x:v>蒸汽</x:v>
      </x:c>
      <x:c r="C24" s="13" t="str">
        <x:v>稀有</x:v>
      </x:c>
      <x:c r="D24" s="14" t="n">
        <x:v>8</x:v>
      </x:c>
      <x:c r="E24" s="13" t="str">
        <x:v>无额外能力；不能被蒸汽锅炉收存</x:v>
      </x:c>
      <x:c r="F24" s="13" t="str">
        <x:v>蒸汽锅炉</x:v>
      </x:c>
      <x:c r="G24" s="13" t="str">
        <x:v>临时生成；不入牌库</x:v>
      </x:c>
      <x:c r="H24" s="13" t="str">
        <x:v>元素</x:v>
      </x:c>
      <x:c r="I24" s="13" t="str">
        <x:v>水元素、火元素</x:v>
      </x:c>
      <x:c r="J24" s="13" t="str">
        <x:v>云朵形</x:v>
      </x:c>
      <x:c r="K24" s="13" t="str">
        <x:v>不规则形</x:v>
      </x:c>
      <x:c r="L24" s="13" t="str">
        <x:v>Radiator（触发器!D23）</x:v>
      </x:c>
    </x:row>
    <x:row r="25" ht="30" customHeight="1">
      <x:c r="A25" s="3" t="str">
        <x:v>P020</x:v>
      </x:c>
      <x:c r="B25" s="3" t="str">
        <x:v>零钱</x:v>
      </x:c>
      <x:c r="C25" s="3" t="str">
        <x:v>普通</x:v>
      </x:c>
      <x:c r="D25" s="15" t="n">
        <x:v>2</x:v>
      </x:c>
      <x:c r="E25" s="3" t="str">
        <x:v>无额外能力</x:v>
      </x:c>
      <x:c r="F25" s="3" t="str">
        <x:v>钱包、收银机、礼帽、守门巨像</x:v>
      </x:c>
      <x:c r="G25" s="3" t="str">
        <x:v>临时生成；不入牌库</x:v>
      </x:c>
      <x:c r="H25" s="3" t="str">
        <x:v>储存</x:v>
      </x:c>
      <x:c r="I25" s="3" t="str">
        <x:v>货币、金属</x:v>
      </x:c>
      <x:c r="J25" s="3" t="str">
        <x:v>小圆形</x:v>
      </x:c>
      <x:c r="K25" s="3" t="str">
        <x:v>圆形</x:v>
      </x:c>
      <x:c r="L25" s="3" t="str">
        <x:v>Credit Card（触发器!D14）；Tophat（触发器!D99）</x:v>
      </x:c>
    </x:row>
    <x:row r="26" ht="30" customHeight="1">
      <x:c r="A26" s="13" t="str">
        <x:v>P021</x:v>
      </x:c>
      <x:c r="B26" s="13" t="str">
        <x:v>纸影</x:v>
      </x:c>
      <x:c r="C26" s="13" t="str">
        <x:v>优秀</x:v>
      </x:c>
      <x:c r="D26" s="14" t="n">
        <x:v>0</x:v>
      </x:c>
      <x:c r="E26" s="13" t="str">
        <x:v>基础分取来源目标当前值、上限12；不复制标签、技能、标记或永久成长</x:v>
      </x:c>
      <x:c r="F26" s="13" t="str">
        <x:v>复印机</x:v>
      </x:c>
      <x:c r="G26" s="13" t="str">
        <x:v>临时生成；不入牌库</x:v>
      </x:c>
      <x:c r="H26" s="13" t="str">
        <x:v>机械</x:v>
      </x:c>
      <x:c r="I26" s="13" t="str">
        <x:v>消耗材料</x:v>
      </x:c>
      <x:c r="J26" s="13" t="str">
        <x:v>方形</x:v>
      </x:c>
      <x:c r="K26" s="13" t="str">
        <x:v>方形</x:v>
      </x:c>
      <x:c r="L26" s="13" t="str">
        <x:v>Axe（触发器!D68）</x:v>
      </x:c>
    </x:row>
    <x:row r="27" ht="30" customHeight="1">
      <x:c r="A27" s="3" t="str">
        <x:v>P022</x:v>
      </x:c>
      <x:c r="B27" s="3" t="str">
        <x:v>幽灵</x:v>
      </x:c>
      <x:c r="C27" s="3" t="str">
        <x:v>普通</x:v>
      </x:c>
      <x:c r="D27" s="15" t="n">
        <x:v>2</x:v>
      </x:c>
      <x:c r="E27" s="3" t="str">
        <x:v>被消耗时额外记分2；具有普通物理碰撞</x:v>
      </x:c>
      <x:c r="F27" s="3" t="str">
        <x:v>灵魂罐、纸人</x:v>
      </x:c>
      <x:c r="G27" s="3" t="str">
        <x:v>临时生成；不入牌库</x:v>
      </x:c>
      <x:c r="H27" s="3" t="str">
        <x:v>灵魂</x:v>
      </x:c>
      <x:c r="I27" s="3" t="str">
        <x:v>灵魂</x:v>
      </x:c>
      <x:c r="J27" s="3" t="str">
        <x:v>圆头水滴形</x:v>
      </x:c>
      <x:c r="K27" s="3" t="str">
        <x:v>不规则形</x:v>
      </x:c>
      <x:c r="L27" s="3" t="str">
        <x:v>Douter（增益!D9）；Tombstone（增益!D26）</x:v>
      </x:c>
    </x:row>
    <x:row r="28" ht="30" customHeight="1">
      <x:c r="A28" s="13" t="str">
        <x:v>P023</x:v>
      </x:c>
      <x:c r="B28" s="13" t="str">
        <x:v>魂火</x:v>
      </x:c>
      <x:c r="C28" s="13" t="str">
        <x:v>优秀</x:v>
      </x:c>
      <x:c r="D28" s="14" t="n">
        <x:v>4</x:v>
      </x:c>
      <x:c r="E28" s="13" t="str">
        <x:v>无额外能力</x:v>
      </x:c>
      <x:c r="F28" s="13" t="str">
        <x:v>焚化炉</x:v>
      </x:c>
      <x:c r="G28" s="13" t="str">
        <x:v>临时生成；不入牌库</x:v>
      </x:c>
      <x:c r="H28" s="13" t="str">
        <x:v>灵魂</x:v>
      </x:c>
      <x:c r="I28" s="13" t="str">
        <x:v>灵魂、火元素</x:v>
      </x:c>
      <x:c r="J28" s="13" t="str">
        <x:v>水滴形</x:v>
      </x:c>
      <x:c r="K28" s="13" t="str">
        <x:v>不规则形</x:v>
      </x:c>
      <x:c r="L28" s="13" t="str">
        <x:v>Douter（增益!D9）</x:v>
      </x:c>
    </x:row>
    <x:row r="29" ht="30" customHeight="1">
      <x:c r="A29" s="3" t="str">
        <x:v>P024</x:v>
      </x:c>
      <x:c r="B29" s="3" t="str">
        <x:v>宝藏徽记</x:v>
      </x:c>
      <x:c r="C29" s="3" t="str">
        <x:v>稀有</x:v>
      </x:c>
      <x:c r="D29" s="15" t="n">
        <x:v>10</x:v>
      </x:c>
      <x:c r="E29" s="3" t="str">
        <x:v>无额外能力</x:v>
      </x:c>
      <x:c r="F29" s="3" t="str">
        <x:v>宝箱</x:v>
      </x:c>
      <x:c r="G29" s="3" t="str">
        <x:v>临时生成；不入牌库</x:v>
      </x:c>
      <x:c r="H29" s="3" t="str">
        <x:v>探险</x:v>
      </x:c>
      <x:c r="I29" s="3" t="str">
        <x:v>探险、宝石</x:v>
      </x:c>
      <x:c r="J29" s="3" t="str">
        <x:v>六边形</x:v>
      </x:c>
      <x:c r="K29" s="3" t="str">
        <x:v>不规则形</x:v>
      </x:c>
      <x:c r="L29" s="3" t="str">
        <x:v>Treasure Chest（触发器!D61）</x:v>
      </x:c>
    </x:row>
    <x:row r="30" ht="30" customHeight="1">
      <x:c r="A30" s="13" t="str">
        <x:v>P025</x:v>
      </x:c>
      <x:c r="B30" s="13" t="str">
        <x:v>奖杯</x:v>
      </x:c>
      <x:c r="C30" s="13" t="str">
        <x:v>稀有</x:v>
      </x:c>
      <x:c r="D30" s="14" t="n">
        <x:v>12</x:v>
      </x:c>
      <x:c r="E30" s="13" t="str">
        <x:v>无额外能力</x:v>
      </x:c>
      <x:c r="F30" s="13" t="str">
        <x:v>守门巨像</x:v>
      </x:c>
      <x:c r="G30" s="13" t="str">
        <x:v>临时生成；不入牌库</x:v>
      </x:c>
      <x:c r="H30" s="13" t="str">
        <x:v>探险</x:v>
      </x:c>
      <x:c r="I30" s="13" t="str">
        <x:v>探险、金属</x:v>
      </x:c>
      <x:c r="J30" s="13" t="str">
        <x:v>杯形</x:v>
      </x:c>
      <x:c r="K30" s="13" t="str">
        <x:v>凹槽形</x:v>
      </x:c>
      <x:c r="L30" s="13" t="str">
        <x:v>Cave Troll（触发器!D37）</x:v>
      </x:c>
    </x:row>
    <x:row r="31" ht="30" customHeight="1">
      <x:c r="A31" s="3" t="str">
        <x:v>P026</x:v>
      </x:c>
      <x:c r="B31" s="3" t="str">
        <x:v>古物奖章</x:v>
      </x:c>
      <x:c r="C31" s="3" t="str">
        <x:v>史诗</x:v>
      </x:c>
      <x:c r="D31" s="15" t="n">
        <x:v>10</x:v>
      </x:c>
      <x:c r="E31" s="3" t="str">
        <x:v>结算时自己+2，若接触成长物品再+4</x:v>
      </x:c>
      <x:c r="F31" s="3" t="str">
        <x:v>时光胶囊永久转化；原ID延续</x:v>
      </x:c>
      <x:c r="G31" s="3" t="str">
        <x:v>仅指定永久转化进入牌库</x:v>
      </x:c>
      <x:c r="H31" s="3" t="str">
        <x:v>结算</x:v>
      </x:c>
      <x:c r="I31" s="3" t="str">
        <x:v>结算、金属</x:v>
      </x:c>
      <x:c r="J31" s="3" t="str">
        <x:v>圆形</x:v>
      </x:c>
      <x:c r="K31" s="3" t="str">
        <x:v>圆形</x:v>
      </x:c>
      <x:c r="L31" s="3" t="str">
        <x:v>Time Capsule（触发器!D98）</x:v>
      </x:c>
    </x:row>
    <x:row r="32" ht="30" customHeight="1">
      <x:c r="A32" s="13" t="str">
        <x:v>P027</x:v>
      </x:c>
      <x:c r="B32" s="13" t="str">
        <x:v>饼干屑</x:v>
      </x:c>
      <x:c r="C32" s="13" t="str">
        <x:v>普通</x:v>
      </x:c>
      <x:c r="D32" s="14" t="n">
        <x:v>1</x:v>
      </x:c>
      <x:c r="E32" s="13" t="str">
        <x:v>无额外能力</x:v>
      </x:c>
      <x:c r="F32" s="13" t="str">
        <x:v>遗物：餐后点心</x:v>
      </x:c>
      <x:c r="G32" s="13" t="str">
        <x:v>临时生成；不入牌库</x:v>
      </x:c>
      <x:c r="H32" s="13" t="str">
        <x:v>烹饪</x:v>
      </x:c>
      <x:c r="I32" s="13" t="str">
        <x:v>食物、食材</x:v>
      </x:c>
      <x:c r="J32" s="13" t="str">
        <x:v>小多边形</x:v>
      </x:c>
      <x:c r="K32" s="13" t="str">
        <x:v>不规则形</x:v>
      </x:c>
      <x:c r="L32" s="13" t="str">
        <x:v>原创</x:v>
      </x:c>
    </x:row>
    <x:row r="33" ht="30" customHeight="1">
      <x:c r="A33" s="3" t="str">
        <x:v>P028</x:v>
      </x:c>
      <x:c r="B33" s="3" t="str">
        <x:v>花粉</x:v>
      </x:c>
      <x:c r="C33" s="3" t="str">
        <x:v>普通</x:v>
      </x:c>
      <x:c r="D33" s="15" t="n">
        <x:v>2</x:v>
      </x:c>
      <x:c r="E33" s="3" t="str">
        <x:v>无额外能力</x:v>
      </x:c>
      <x:c r="F33" s="3" t="str">
        <x:v>遗物：授粉手册</x:v>
      </x:c>
      <x:c r="G33" s="3" t="str">
        <x:v>临时生成；不入牌库</x:v>
      </x:c>
      <x:c r="H33" s="3" t="str">
        <x:v>种植</x:v>
      </x:c>
      <x:c r="I33" s="3" t="str">
        <x:v>植物</x:v>
      </x:c>
      <x:c r="J33" s="3" t="str">
        <x:v>小圆形</x:v>
      </x:c>
      <x:c r="K33" s="3" t="str">
        <x:v>圆形</x:v>
      </x:c>
      <x:c r="L33" s="3" t="str">
        <x:v>原创</x:v>
      </x:c>
    </x:row>
    <x:row r="34" ht="30" customHeight="1">
      <x:c r="A34" s="13" t="str">
        <x:v>P029</x:v>
      </x:c>
      <x:c r="B34" s="13" t="str">
        <x:v>双黄蛋</x:v>
      </x:c>
      <x:c r="C34" s="13" t="str">
        <x:v>优秀</x:v>
      </x:c>
      <x:c r="D34" s="14" t="n">
        <x:v>5</x:v>
      </x:c>
      <x:c r="E34" s="13" t="str">
        <x:v>按1件蛋参与消耗、收存及孵化条件</x:v>
      </x:c>
      <x:c r="F34" s="13" t="str">
        <x:v>遗物：双黄蛋谱</x:v>
      </x:c>
      <x:c r="G34" s="13" t="str">
        <x:v>临时生成；不入牌库</x:v>
      </x:c>
      <x:c r="H34" s="13" t="str">
        <x:v>牧场</x:v>
      </x:c>
      <x:c r="I34" s="13" t="str">
        <x:v>牧场、食材</x:v>
      </x:c>
      <x:c r="J34" s="13" t="str">
        <x:v>宽椭圆</x:v>
      </x:c>
      <x:c r="K34" s="13" t="str">
        <x:v>不规则形</x:v>
      </x:c>
      <x:c r="L34" s="13" t="str">
        <x:v>Chicken（触发器!D71）</x:v>
      </x:c>
    </x:row>
    <x:row r="35" ht="30" customHeight="1">
      <x:c r="A35" s="3" t="str">
        <x:v>P030</x:v>
      </x:c>
      <x:c r="B35" s="3" t="str">
        <x:v>废料</x:v>
      </x:c>
      <x:c r="C35" s="3" t="str">
        <x:v>普通</x:v>
      </x:c>
      <x:c r="D35" s="15" t="n">
        <x:v>1</x:v>
      </x:c>
      <x:c r="E35" s="3" t="str">
        <x:v>无额外能力</x:v>
      </x:c>
      <x:c r="F35" s="3" t="str">
        <x:v>遗物：边角料箱</x:v>
      </x:c>
      <x:c r="G35" s="3" t="str">
        <x:v>临时生成；不入牌库</x:v>
      </x:c>
      <x:c r="H35" s="3" t="str">
        <x:v>矿业</x:v>
      </x:c>
      <x:c r="I35" s="3" t="str">
        <x:v>金属、消耗材料</x:v>
      </x:c>
      <x:c r="J35" s="3" t="str">
        <x:v>多边形</x:v>
      </x:c>
      <x:c r="K35" s="3" t="str">
        <x:v>不规则形</x:v>
      </x:c>
      <x:c r="L35" s="3" t="str">
        <x:v>Smokestack（增益!D25）</x:v>
      </x:c>
    </x:row>
    <x:row r="36" ht="30" customHeight="1">
      <x:c r="A36" s="13" t="str">
        <x:v>P031</x:v>
      </x:c>
      <x:c r="B36" s="13" t="str">
        <x:v>回声珠</x:v>
      </x:c>
      <x:c r="C36" s="13" t="str">
        <x:v>优秀</x:v>
      </x:c>
      <x:c r="D36" s="14" t="n">
        <x:v>4</x:v>
      </x:c>
      <x:c r="E36" s="13" t="str">
        <x:v>无额外能力</x:v>
      </x:c>
      <x:c r="F36" s="13" t="str">
        <x:v>遗物：共鸣余音</x:v>
      </x:c>
      <x:c r="G36" s="13" t="str">
        <x:v>临时生成；不入牌库</x:v>
      </x:c>
      <x:c r="H36" s="13" t="str">
        <x:v>宝石</x:v>
      </x:c>
      <x:c r="I36" s="13" t="str">
        <x:v>宝石、共鸣</x:v>
      </x:c>
      <x:c r="J36" s="13" t="str">
        <x:v>圆形</x:v>
      </x:c>
      <x:c r="K36" s="13" t="str">
        <x:v>圆形</x:v>
      </x:c>
      <x:c r="L36" s="13" t="str">
        <x:v>Topaz（触发器!D126）</x:v>
      </x:c>
    </x:row>
    <x:row r="37" ht="30" customHeight="1">
      <x:c r="A37" s="3" t="str">
        <x:v>P032</x:v>
      </x:c>
      <x:c r="B37" s="3" t="str">
        <x:v>纪念票</x:v>
      </x:c>
      <x:c r="C37" s="3" t="str">
        <x:v>优秀</x:v>
      </x:c>
      <x:c r="D37" s="15" t="n">
        <x:v>3</x:v>
      </x:c>
      <x:c r="E37" s="3" t="str">
        <x:v>入场时自带邮戳</x:v>
      </x:c>
      <x:c r="F37" s="3" t="str">
        <x:v>遗物：集邮册</x:v>
      </x:c>
      <x:c r="G37" s="3" t="str">
        <x:v>临时生成；不入牌库</x:v>
      </x:c>
      <x:c r="H37" s="3" t="str">
        <x:v>连锁</x:v>
      </x:c>
      <x:c r="I37" s="3" t="str">
        <x:v>连锁、消耗材料</x:v>
      </x:c>
      <x:c r="J37" s="3" t="str">
        <x:v>长方形</x:v>
      </x:c>
      <x:c r="K37" s="3" t="str">
        <x:v>长条形</x:v>
      </x:c>
      <x:c r="L37" s="3" t="str">
        <x:v>原创</x:v>
      </x:c>
    </x:row>
  </x:sheetData>
  <x:conditionalFormatting sqref="C6:C37">
    <x:cfRule type="containsText" dxfId="6" priority="1" operator="containsText" text="稀有"/>
    <x:cfRule type="containsText" dxfId="7" priority="2" operator="containsText" text="史诗"/>
    <x:cfRule type="containsText" dxfId="8" priority="3" operator="containsText" text="优秀"/>
  </x:conditionalFormatting>
  <x:pageMargins left="0.7" right="0.7" top="0.75" bottom="0.75" header="0.3" footer="0.3"/>
  <x:tableParts count="1">
    <x:tablePart xmlns:r="http://schemas.openxmlformats.org/officeDocument/2006/relationships" r:id="Rd6b3ccafb6db4458"/>
  </x:tableParts>
</x:worksheet>
</file>

<file path=xl/worksheets/sheet4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34" hidden="0" customWidth="1"/>
    <x:col min="5" max="5" width="25" hidden="0" customWidth="1"/>
    <x:col min="6" max="6" width="39" hidden="0" customWidth="1"/>
    <x:col min="7" max="7" width="63" hidden="0" customWidth="1"/>
    <x:col min="8" max="8" width="47" hidden="0" customWidth="1"/>
    <x:col min="9" max="9" width="49" hidden="0" customWidth="1"/>
    <x:col min="10" max="10" width="37" hidden="0" customWidth="1"/>
    <x:col min="11" max="11" width="62" hidden="0" customWidth="1"/>
    <x:col min="12" max="12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12套组合路线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8" t="str">
        <x:v>每套配置为16件样本，每件按主要作用只计1次；实际入瓶仍随机抽取。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 ht="30" customHeight="1">
      <x:c r="A5" s="12" t="str">
        <x:v>流派</x:v>
      </x:c>
      <x:c r="B5" s="12" t="str">
        <x:v>得分方式</x:v>
      </x:c>
      <x:c r="C5" s="12" t="str">
        <x:v>起步组件</x:v>
      </x:c>
      <x:c r="D5" s="12" t="str">
        <x:v>中期组件</x:v>
      </x:c>
      <x:c r="E5" s="12" t="str">
        <x:v>核心</x:v>
      </x:c>
      <x:c r="F5" s="12" t="str">
        <x:v>推荐遗物</x:v>
      </x:c>
      <x:c r="G5" s="12" t="str">
        <x:v>玩家如何安排接触</x:v>
      </x:c>
      <x:c r="H5" s="12" t="str">
        <x:v>跨流派搭配</x:v>
      </x:c>
      <x:c r="I5" s="12" t="str">
        <x:v>代价与冲突</x:v>
      </x:c>
      <x:c r="J5" s="12" t="str">
        <x:v>16件样本比例</x:v>
      </x:c>
      <x:c r="K5" s="12" t="str">
        <x:v>局部算例</x:v>
      </x:c>
      <x:c r="L5" s="12" t="str">
        <x:v>首测候选</x:v>
      </x:c>
    </x:row>
    <x:row r="6" ht="38" customHeight="1">
      <x:c r="A6" s="13" t="str">
        <x:v>烹饪</x:v>
      </x:c>
      <x:c r="B6" s="13" t="str">
        <x:v>加工并消费高价值食物</x:v>
      </x:c>
      <x:c r="C6" s="13" t="str">
        <x:v>面包、奶酪、平底锅、盐罐</x:v>
      </x:c>
      <x:c r="D6" s="13" t="str">
        <x:v>餐盘、饕餮嘴、烤面包架</x:v>
      </x:c>
      <x:c r="E6" s="13" t="str">
        <x:v>宴会钟</x:v>
      </x:c>
      <x:c r="F6" s="13" t="str">
        <x:v>家常菜谱、餐后点心、主厨勋章</x:v>
      </x:c>
      <x:c r="G6" s="13" t="str">
        <x:v>让食材先接触盐罐，再送给平底锅或饕餮嘴；保留部分餐食供结算。</x:v>
      </x:c>
      <x:c r="H6" s="13" t="str">
        <x:v>植物产果、动物产奶、火元素点亮烤架</x:v>
      </x:c>
      <x:c r="I6" s="13" t="str">
        <x:v>饕餮嘴会吃掉原本能被餐盘放大的食物。</x:v>
      </x:c>
      <x:c r="J6" s="13" t="str">
        <x:v>生产者3、食材8、增值2、核心3</x:v>
      </x:c>
      <x:c r="K6" s="13" t="str">
        <x:v>面包+奶酪经平底锅生成热餐；面包被消耗记分3，热餐基础8，合计贡献11，平底锅自身另计。</x:v>
      </x:c>
      <x:c r="L6" s="13" t="str">
        <x:v>先测面包、奶酪、平底锅、盐罐、饕餮嘴</x:v>
      </x:c>
    </x:row>
    <x:row r="7" ht="30" customHeight="1">
      <x:c r="A7" s="3" t="str">
        <x:v>种植</x:v>
      </x:c>
      <x:c r="B7" s="3" t="str">
        <x:v>水元素与植物形成产果和成长</x:v>
      </x:c>
      <x:c r="C7" s="3" t="str">
        <x:v>雨云、幼苗、南瓜、花盆</x:v>
      </x:c>
      <x:c r="D7" s="3" t="str">
        <x:v>葡萄藤、蜜蜂、浇水壶</x:v>
      </x:c>
      <x:c r="E7" s="3" t="str">
        <x:v>温室罩、果树</x:v>
      </x:c>
      <x:c r="F7" s="3" t="str">
        <x:v>园艺手套、授粉手册、连根相生</x:v>
      </x:c>
      <x:c r="G7" s="3" t="str">
        <x:v>把水送到需要它的植物，再将产果引到烹饪工具。冻结前聚集植物。</x:v>
      </x:c>
      <x:c r="H7" s="3" t="str">
        <x:v>烹饪消费果实，元素供水，宝石培育成长</x:v>
      </x:c>
      <x:c r="I7" s="3" t="str">
        <x:v>雨云吃同目标触发上限；南瓜会消耗其他植物也需要的水珠。</x:v>
      </x:c>
      <x:c r="J7" s="3" t="str">
        <x:v>供水3、植物10、辅助3</x:v>
      </x:c>
      <x:c r="K7" s="3" t="str">
        <x:v>南瓜基础3，消耗3颗水珠后当前值12；被温室罩加50%后得18。</x:v>
      </x:c>
      <x:c r="L7" s="3" t="str">
        <x:v>先测雨云、幼苗、南瓜、葡萄藤、花盆</x:v>
      </x:c>
    </x:row>
    <x:row r="8" ht="30" customHeight="1">
      <x:c r="A8" s="13" t="str">
        <x:v>牧场</x:v>
      </x:c>
      <x:c r="B8" s="13" t="str">
        <x:v>饲料转化为蛋奶，动物互相增值</x:v>
      </x:c>
      <x:c r="C8" s="13" t="str">
        <x:v>谷穗、母鸡、鸟巢、牧羊犬</x:v>
      </x:c>
      <x:c r="D8" s="13" t="str">
        <x:v>奶牛、绵羊、孵化器</x:v>
      </x:c>
      <x:c r="E8" s="13" t="str">
        <x:v>蛋托、牧场牌</x:v>
      </x:c>
      <x:c r="F8" s="13" t="str">
        <x:v>加厚草垫、双黄蛋谱、营养饲料</x:v>
      </x:c>
      <x:c r="G8" s="13" t="str">
        <x:v>先让谷物接触生产动物，再决定蛋送进孵化器还是蛋托。</x:v>
      </x:c>
      <x:c r="H8" s="13" t="str">
        <x:v>植物提供谷物身份食材、烹饪消费奶和蛋、工具为绵羊剪毛</x:v>
      </x:c>
      <x:c r="I8" s="13" t="str">
        <x:v>蛋托和孵化器争抢蛋；生产动物本身需要抽取稳定性。</x:v>
      </x:c>
      <x:c r="J8" s="13" t="str">
        <x:v>动物8、谷穗5、设施3</x:v>
      </x:c>
      <x:c r="K8" s="13" t="str">
        <x:v>1谷穗被母鸡消耗后母鸡+3，并产2颗蛋；无其他增益时母鸡5+蛋4=9。</x:v>
      </x:c>
      <x:c r="L8" s="13" t="str">
        <x:v>先测谷穗、母鸡、鸟巢、孵化器、牧羊犬</x:v>
      </x:c>
    </x:row>
    <x:row r="9" ht="30" customHeight="1">
      <x:c r="A9" s="3" t="str">
        <x:v>矿业</x:v>
      </x:c>
      <x:c r="B9" s="3" t="str">
        <x:v>分解、筛选、熔炼形成价值升级</x:v>
      </x:c>
      <x:c r="C9" s="3" t="str">
        <x:v>碎石、采石袋、矿工镐、碎石机</x:v>
      </x:c>
      <x:c r="D9" s="3" t="str">
        <x:v>铜矿块、铁矿块、铁砧</x:v>
      </x:c>
      <x:c r="E9" s="3" t="str">
        <x:v>熔炉、鉴定师</x:v>
      </x:c>
      <x:c r="F9" s="3" t="str">
        <x:v>矿工手套、边角料箱、精炼工艺</x:v>
      </x:c>
      <x:c r="G9" s="3" t="str">
        <x:v>先增值矿石，再决定碎成小石子还是熔炼；将产出的宝石留给鉴定师。</x:v>
      </x:c>
      <x:c r="H9" s="3" t="str">
        <x:v>元素点火、金属接磁铁、宝石提供结算增益</x:v>
      </x:c>
      <x:c r="I9" s="3" t="str">
        <x:v>工具过多缺原料；矿工不能再次拆小石子。</x:v>
      </x:c>
      <x:c r="J9" s="3" t="str">
        <x:v>矿石8、工具4、元素2、核心2</x:v>
      </x:c>
      <x:c r="K9" s="3" t="str">
        <x:v>铜矿3与铁矿4进入熔炉，锭基础4+3+4=11；铁矿另使炉+3。</x:v>
      </x:c>
      <x:c r="L9" s="3" t="str">
        <x:v>先测碎石、采石袋、矿工镐、碎石机、熔炉</x:v>
      </x:c>
    </x:row>
    <x:row r="10" ht="30" customHeight="1">
      <x:c r="A10" s="13" t="str">
        <x:v>元素</x:v>
      </x:c>
      <x:c r="B10" s="13" t="str">
        <x:v>有限次数的水火转换与产物增殖</x:v>
      </x:c>
      <x:c r="C10" s="13" t="str">
        <x:v>火种、冰块、换热器、泉眼</x:v>
      </x:c>
      <x:c r="D10" s="13" t="str">
        <x:v>火把、蜡烛、风箱</x:v>
      </x:c>
      <x:c r="E10" s="13" t="str">
        <x:v>小火山、蒸汽锅炉、鞭炮</x:v>
      </x:c>
      <x:c r="F10" s="13" t="str">
        <x:v>冷凝管、冷热循环、烟火庆典</x:v>
      </x:c>
      <x:c r="G10" s="13" t="str">
        <x:v>有意识地让水火经过换热器，再选择把元素供给植物、熔炉或锅炉。</x:v>
      </x:c>
      <x:c r="H10" s="13" t="str">
        <x:v>种植用水、烹饪用火、机械与元素互相增值</x:v>
      </x:c>
      <x:c r="I10" s="13" t="str">
        <x:v>锅炉会吞掉火种；蒸汽不能再投入锅炉循环。</x:v>
      </x:c>
      <x:c r="J10" s="13" t="str">
        <x:v>初始元素6、转换器4、接收者6</x:v>
      </x:c>
      <x:c r="K10" s="13" t="str">
        <x:v>换热器完成水珠转火星再转水珠，自己+2；冷热循环再+8，火星被消耗记分1。</x:v>
      </x:c>
      <x:c r="L10" s="13" t="str">
        <x:v>先测火种、冰块、换热器、蜡烛、蒸汽锅炉</x:v>
      </x:c>
    </x:row>
    <x:row r="11" ht="38" customHeight="1">
      <x:c r="A11" s="3" t="str">
        <x:v>储存</x:v>
      </x:c>
      <x:c r="B11" s="3" t="str">
        <x:v>把产物压缩成容器结算收益</x:v>
      </x:c>
      <x:c r="C11" s="3" t="str">
        <x:v>金币、存钱猪、储水杯、回收桶</x:v>
      </x:c>
      <x:c r="D11" s="3" t="str">
        <x:v>钱包、收银机、货架</x:v>
      </x:c>
      <x:c r="E11" s="3" t="str">
        <x:v>投资箱、保险箱、拍卖槌</x:v>
      </x:c>
      <x:c r="F11" s="3" t="str">
        <x:v>收据夹、分类货签、存满奖励</x:v>
      </x:c>
      <x:c r="G11" s="3" t="str">
        <x:v>先让物体取得增值，再收进匹配容器；冻结时将拍卖槌靠近高价值容器。</x:v>
      </x:c>
      <x:c r="H11" s="3" t="str">
        <x:v>矿业产金属货币，元素产水，生产流提供临时物</x:v>
      </x:c>
      <x:c r="I11" s="3" t="str">
        <x:v>消费者会提前抢走货物；拍卖槌按冻结值选目标，不能读尚未加上的存入值。</x:v>
      </x:c>
      <x:c r="J11" s="3" t="str">
        <x:v>容器5、货币或产物源8、辅助3</x:v>
      </x:c>
      <x:c r="K11" s="3" t="str">
        <x:v>存钱猪收3枚基础3金币：冻结1，结算加9+6，得16；金币不另计。</x:v>
      </x:c>
      <x:c r="L11" s="3" t="str">
        <x:v>先测金币、存钱猪、回收桶、钱包、收银机</x:v>
      </x:c>
    </x:row>
    <x:row r="12" ht="30" customHeight="1">
      <x:c r="A12" s="13" t="str">
        <x:v>机械</x:v>
      </x:c>
      <x:c r="B12" s="13" t="str">
        <x:v>在花费充能和保留充能之间选择</x:v>
      </x:c>
      <x:c r="C12" s="13" t="str">
        <x:v>小电池、发条玩具、插座</x:v>
      </x:c>
      <x:c r="D12" s="13" t="str">
        <x:v>转子发电机、电容罐、冷却柜</x:v>
      </x:c>
      <x:c r="E12" s="13" t="str">
        <x:v>复印机、计数盘</x:v>
      </x:c>
      <x:c r="F12" s="13" t="str">
        <x:v>备用电芯、能量回执、并联线圈</x:v>
      </x:c>
      <x:c r="G12" s="13" t="str">
        <x:v>电池先给最有价值的充能目标；电容保留电，插座则把电花在高收益物体上。</x:v>
      </x:c>
      <x:c r="H12" s="13" t="str">
        <x:v>宝石回能，金属接磁铁，纸影作为灵魂消耗材料</x:v>
      </x:c>
      <x:c r="I12" s="13" t="str">
        <x:v>充能不刷新次数；电源不能互相充电产生永动。</x:v>
      </x:c>
      <x:c r="J12" s="13" t="str">
        <x:v>电源3、充能6、被增值目标7</x:v>
      </x:c>
      <x:c r="K12" s="13" t="str">
        <x:v>电容初始0，收到3充能后当前值4，结算加9，得13；并联线圈再加6。</x:v>
      </x:c>
      <x:c r="L12" s="13" t="str">
        <x:v>先测小电池、发条玩具、插座、电容罐、计数盘</x:v>
      </x:c>
    </x:row>
    <x:row r="13" ht="30" customHeight="1">
      <x:c r="A13" s="3" t="str">
        <x:v>灵魂</x:v>
      </x:c>
      <x:c r="B13" s="3" t="str">
        <x:v>消耗事件同时提供记分与新材料</x:v>
      </x:c>
      <x:c r="C13" s="3" t="str">
        <x:v>灵魂罐、纸人、灵魂石</x:v>
      </x:c>
      <x:c r="D13" s="3" t="str">
        <x:v>焚化炉、引魂灯、亡语铃</x:v>
      </x:c>
      <x:c r="E13" s="3" t="str">
        <x:v>守墓人、轮回匣</x:v>
      </x:c>
      <x:c r="F13" s="3" t="str">
        <x:v>悼念花束、不灭烛芯、魂火提灯</x:v>
      </x:c>
      <x:c r="G13" s="3" t="str">
        <x:v>让幽灵先接触墓碑或引魂灯，再交给灵魂石；用纸人衔接多次有限反应。</x:v>
      </x:c>
      <x:c r="H13" s="3" t="str">
        <x:v>烹饪和矿业提供消耗事件，复印机提供纸影</x:v>
      </x:c>
      <x:c r="I13" s="3" t="str">
        <x:v>收存也算消耗但不能二次消费记录；返还保留旧次数。</x:v>
      </x:c>
      <x:c r="J13" s="3" t="str">
        <x:v>消耗材料9、消费者4、观察者3</x:v>
      </x:c>
      <x:c r="K13" s="3" t="str">
        <x:v>灵魂石基础2，吞掉1个基础2幽灵后自身6；幽灵被消耗记分2，贡献8。</x:v>
      </x:c>
      <x:c r="L13" s="3" t="str">
        <x:v>先测灵魂罐、纸人、灵魂石、亡语铃、焚化炉</x:v>
      </x:c>
    </x:row>
    <x:row r="14" ht="38" customHeight="1">
      <x:c r="A14" s="13" t="str">
        <x:v>宝石</x:v>
      </x:c>
      <x:c r="B14" s="13" t="str">
        <x:v>多种宝石接触后放大其他构筑</x:v>
      </x:c>
      <x:c r="C14" s="13" t="str">
        <x:v>共鸣石、紫水晶、调音叉</x:v>
      </x:c>
      <x:c r="D14" s="13" t="str">
        <x:v>黄水晶、石榴石、橄榄石</x:v>
      </x:c>
      <x:c r="E14" s="13" t="str">
        <x:v>黄玉、镜片、彩虹珠</x:v>
      </x:c>
      <x:c r="F14" s="13" t="str">
        <x:v>绒布底座、宝石匣谱、七彩折射</x:v>
      </x:c>
      <x:c r="G14" s="13" t="str">
        <x:v>早期用少量宝石辅助其他流派，后期通过接触组和名称多样性转成主构筑。</x:v>
      </x:c>
      <x:c r="H14" s="13" t="str">
        <x:v>矿业供应晶屑，机械利用回能，成长核心利用黄水晶</x:v>
      </x:c>
      <x:c r="I14" s="13" t="str">
        <x:v>大量高品质物品要求成型时间；两个镜片不能相互复制结算增量。</x:v>
      </x:c>
      <x:c r="J14" s="13" t="str">
        <x:v>宝石7、接收者6、生产源3</x:v>
      </x:c>
      <x:c r="K14" s="13" t="str">
        <x:v>冻结值12的目标给镜片加6；镜片自身基础2，得8，不会反过来推高目标冻结值。</x:v>
      </x:c>
      <x:c r="L14" s="13" t="str">
        <x:v>先测共鸣石、紫水晶、调音叉、石榴石、镜片</x:v>
      </x:c>
    </x:row>
    <x:row r="15" ht="38" customHeight="1">
      <x:c r="A15" s="3" t="str">
        <x:v>探险</x:v>
      </x:c>
      <x:c r="B15" s="3" t="str">
        <x:v>接触完成开锁与固定伤害挑战</x:v>
      </x:c>
      <x:c r="C15" s="3" t="str">
        <x:v>钥匙、宝箱、木剑、训练木偶</x:v>
      </x:c>
      <x:c r="D15" s="3" t="str">
        <x:v>地图、草帽、罗盘</x:v>
      </x:c>
      <x:c r="E15" s="3" t="str">
        <x:v>守门巨像、礼帽</x:v>
      </x:c>
      <x:c r="F15" s="3" t="str">
        <x:v>备用钥匙圈、磨刀石、探险家勋章</x:v>
      </x:c>
      <x:c r="G15" s="3" t="str">
        <x:v>把钥匙送到宝箱、木剑送到目标；地图降低需求，罗盘强化留下的战利品。</x:v>
      </x:c>
      <x:c r="H15" s="3" t="str">
        <x:v>矿业提供金属，宝石强化徽记，储存收纳高分奖杯</x:v>
      </x:c>
      <x:c r="I15" s="3" t="str">
        <x:v>不读取撞击强度；同一木剑对同一巨像只打一次，需要多个攻击来源。</x:v>
      </x:c>
      <x:c r="J15" s="3" t="str">
        <x:v>木剑5、钥匙5、目标3、辅助3</x:v>
      </x:c>
      <x:c r="K15" s="3" t="str">
        <x:v>4把木剑各伤害巨像1次，共产奖杯12+零钱4；每把木剑自身另+2。</x:v>
      </x:c>
      <x:c r="L15" s="3" t="str">
        <x:v>先测钥匙、宝箱、木剑、训练木偶、地图</x:v>
      </x:c>
    </x:row>
    <x:row r="16" ht="30" customHeight="1">
      <x:c r="A16" s="13" t="str">
        <x:v>连锁</x:v>
      </x:c>
      <x:c r="B16" s="13" t="str">
        <x:v>把接触顺序记为可消费的路径标记</x:v>
      </x:c>
      <x:c r="C16" s="13" t="str">
        <x:v>洞穴石、接力棒、印章、信封</x:v>
      </x:c>
      <x:c r="D16" s="13" t="str">
        <x:v>多米诺、邮筒、拼图块</x:v>
      </x:c>
      <x:c r="E16" s="13" t="str">
        <x:v>星图、连锁终端</x:v>
      </x:c>
      <x:c r="F16" s="13" t="str">
        <x:v>邮戳油墨、路径手册、集邮册</x:v>
      </x:c>
      <x:c r="G16" s="13" t="str">
        <x:v>先经过不同洞穴石积累路径，再选择保留给星图结算或交给终端消费。</x:v>
      </x:c>
      <x:c r="H16" s="13" t="str">
        <x:v>各种产物都能盖章，临时产物能入邮筒</x:v>
      </x:c>
      <x:c r="I16" s="13" t="str">
        <x:v>终端消费后失去星图倍率；追加纪念票不能无限产票。</x:v>
      </x:c>
      <x:c r="J16" s="13" t="str">
        <x:v>路径源4、传递盖章4、接收者8</x:v>
      </x:c>
      <x:c r="K16" s="13" t="str">
        <x:v>当前值8且带2层路径的物体被终端消耗，记分24；它不再作为存活物品计分。</x:v>
      </x:c>
      <x:c r="L16" s="13" t="str">
        <x:v>先测洞穴石、接力棒、印章、信封、星图</x:v>
      </x:c>
    </x:row>
    <x:row r="17" ht="38" customHeight="1">
      <x:c r="A17" s="3" t="str">
        <x:v>结算</x:v>
      </x:c>
      <x:c r="B17" s="3" t="str">
        <x:v>养成少量强单体并安排冻结接触</x:v>
      </x:c>
      <x:c r="C17" s="3" t="str">
        <x:v>老树桩、指挥旗、秒表</x:v>
      </x:c>
      <x:c r="D17" s="3" t="str">
        <x:v>沙漏、年轮盘、时光胶囊</x:v>
      </x:c>
      <x:c r="E17" s="3" t="str">
        <x:v>放大镜、平衡秤、桂冠</x:v>
      </x:c>
      <x:c r="F17" s="3" t="str">
        <x:v>旧照片、登场纪念章、头等奖座</x:v>
      </x:c>
      <x:c r="G17" s="3" t="str">
        <x:v>前几回合培养核心；最后一次整理让放大镜贴到高冻结值目标，避免核心被消费者吞掉。</x:v>
      </x:c>
      <x:c r="H17" s="3" t="str">
        <x:v>黄水晶加成长，烹饪与机械提供临时增值，储存压缩数量</x:v>
      </x:c>
      <x:c r="I17" s="3" t="str">
        <x:v>结算加分不能改变“最高者”选择；永久成长从下一回合生效。</x:v>
      </x:c>
      <x:c r="J17" s="3" t="str">
        <x:v>成长核心6、增值源6、结算辅助4</x:v>
      </x:c>
      <x:c r="K17" s="3" t="str">
        <x:v>核心冻结12，结算加4，获得放大镜100%和桂冠100%，得(12+4)×3=48。</x:v>
      </x:c>
      <x:c r="L17" s="3" t="str">
        <x:v>先测老树桩、指挥旗、沙漏、放大镜、平衡秤</x:v>
      </x:c>
    </x:row>
  </x:sheetData>
  <x:pageMargins left="0.7" right="0.7" top="0.75" bottom="0.75" header="0.3" footer="0.3"/>
  <x:tableParts count="1">
    <x:tablePart xmlns:r="http://schemas.openxmlformats.org/officeDocument/2006/relationships" r:id="Rb6b4126c5e1f49dd"/>
  </x:tableParts>
</x:worksheet>
</file>

<file path=xl/worksheets/sheet5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20" hidden="0" customWidth="1"/>
  </x:cols>
  <x:sheetData>
    <x:row r="1">
      <x:c r="A1" s="3"/>
      <x:c r="B1" s="3"/>
      <x:c r="C1" s="3"/>
    </x:row>
    <x:row r="2">
      <x:c r="A2" s="6" t="str">
        <x:v>规则口径与来源</x:v>
      </x:c>
      <x:c r="B2" s="7"/>
      <x:c r="C2" s="7"/>
    </x:row>
    <x:row r="3">
      <x:c r="A3" s="8" t="str">
        <x:v>“已确认”来自本轮会话；“设计约定”是本表为消除歧义提出的具体口径。</x:v>
      </x:c>
      <x:c r="B3" s="7"/>
      <x:c r="C3" s="7"/>
    </x:row>
    <x:row r="4">
      <x:c r="A4" s="9"/>
      <x:c r="B4" s="9"/>
      <x:c r="C4" s="9"/>
    </x:row>
    <x:row r="5" ht="30" customHeight="1">
      <x:c r="A5" s="12" t="str">
        <x:v>状态</x:v>
      </x:c>
      <x:c r="B5" s="12" t="str">
        <x:v>条目</x:v>
      </x:c>
      <x:c r="C5" s="12" t="str">
        <x:v>内容</x:v>
      </x:c>
    </x:row>
    <x:row r="6" ht="30" customHeight="1">
      <x:c r="A6" s="16" t="str">
        <x:v>已确认</x:v>
      </x:c>
      <x:c r="B6" s="13" t="str">
        <x:v>回合结构</x:v>
      </x:c>
      <x:c r="C6" s="13" t="str">
        <x:v>每回合从牌库抽取16个物体放入容器，进行10秒摇晃，随后冻结并统一结算。牌库不足16件时的补足规则未指定，本表不依赖该情形。</x:v>
      </x:c>
    </x:row>
    <x:row r="7" ht="30" customHeight="1">
      <x:c r="A7" s="17" t="str">
        <x:v>已确认</x:v>
      </x:c>
      <x:c r="B7" s="3" t="str">
        <x:v>选择奖励</x:v>
      </x:c>
      <x:c r="C7" s="3" t="str">
        <x:v>每回合结束物品三选一；每5回合检查目标并进行遗物三选一。本表没有增加选项数、额外选卡、抽取数量或回合时长的效果。</x:v>
      </x:c>
    </x:row>
    <x:row r="8" ht="30" customHeight="1">
      <x:c r="A8" s="16" t="str">
        <x:v>已确认</x:v>
      </x:c>
      <x:c r="B8" s="13" t="str">
        <x:v>摇晃作用</x:v>
      </x:c>
      <x:c r="C8" s="13" t="str">
        <x:v>玩家通过摇晃改变位置与接触机会。所有效果均不读取摇晃强度、速度、冲量或轻重等级。</x:v>
      </x:c>
    </x:row>
    <x:row r="9" ht="30" customHeight="1">
      <x:c r="A9" s="17" t="str">
        <x:v>已确认</x:v>
      </x:c>
      <x:c r="B9" s="3" t="str">
        <x:v>消耗与生成</x:v>
      </x:c>
      <x:c r="C9" s="3" t="str">
        <x:v>消耗默认只令当前回合物体退场，下回合仍在原牌库。生成默认是本回合临时实例。只有明写永久转化或永久成长的效果跨回合保留。</x:v>
      </x:c>
    </x:row>
    <x:row r="10" ht="30" customHeight="1">
      <x:c r="A10" s="16" t="str">
        <x:v>已确认</x:v>
      </x:c>
      <x:c r="B10" s="13" t="str">
        <x:v>物品属性</x:v>
      </x:c>
      <x:c r="C10" s="13" t="str">
        <x:v>物品有品质和形状。本提案使用普通、优秀、稀有、史诗四档作为内容分层；未指定掉落权重。形状参与接触和物品效果条件。</x:v>
      </x:c>
    </x:row>
    <x:row r="11" ht="30" customHeight="1">
      <x:c r="A11" s="3" t="str">
        <x:v>设计约定</x:v>
      </x:c>
      <x:c r="B11" s="3" t="str">
        <x:v>分数单位</x:v>
      </x:c>
      <x:c r="C11" s="3" t="str">
        <x:v>本表数值为首轮测试值。B为永久基础分；V为本回合当前值=B+已获临时加分。未标永久的加分只持续本回合。触发者被消耗后，V不会自动计分。</x:v>
      </x:c>
    </x:row>
    <x:row r="12" ht="38" customHeight="1">
      <x:c r="A12" s="13" t="str">
        <x:v>设计约定</x:v>
      </x:c>
      <x:c r="B12" s="13" t="str">
        <x:v>冻结与顺序</x:v>
      </x:c>
      <x:c r="C12" s="13" t="str">
        <x:v>10秒到时完成当步已成功的反应，禁止新接触事件。记录全部存活物体的V、接触关系和状态，V记为冻结值F。先执行结算加分A，再收集倍率M，计算floor((F+A)×(1+M))。最后处理永久成长及明确的回合末记分。</x:v>
      </x:c>
    </x:row>
    <x:row r="13" ht="30" customHeight="1">
      <x:c r="A13" s="3" t="str">
        <x:v>设计约定</x:v>
      </x:c>
      <x:c r="B13" s="3" t="str">
        <x:v>事件记分</x:v>
      </x:c>
      <x:c r="C13" s="3" t="str">
        <x:v>摇晃中写“记分”的效果只累计到事件池E，10秒后统一入总分。回合总分=所有存活物品得分之和+E+明确的回合末追加记分。事件记分不吃物品倍率。</x:v>
      </x:c>
    </x:row>
    <x:row r="14" ht="30" customHeight="1">
      <x:c r="A14" s="13" t="str">
        <x:v>设计约定</x:v>
      </x:c>
      <x:c r="B14" s="13" t="str">
        <x:v>倍率叠加</x:v>
      </x:c>
      <x:c r="C14" s="13" t="str">
        <x:v>+50%与+100%相加为+150%，即乘2.5；不同来源可叠加。相同名称的单体标记不叠加。不存在倍率互相复制或结算阶段循环触发。</x:v>
      </x:c>
    </x:row>
    <x:row r="15" ht="30" customHeight="1">
      <x:c r="A15" s="3" t="str">
        <x:v>设计约定</x:v>
      </x:c>
      <x:c r="B15" s="3" t="str">
        <x:v>比较依据</x:v>
      </x:c>
      <x:c r="C15" s="3" t="str">
        <x:v>结算时最高、最低、差值及复制值一律读取F，不读取其他物品正在增加的A或M。同值按实例编号小者优先；写“唯一最高”的效果在并列时不生效。</x:v>
      </x:c>
    </x:row>
    <x:row r="16" ht="38" customHeight="1">
      <x:c r="A16" s="13" t="str">
        <x:v>设计约定</x:v>
      </x:c>
      <x:c r="B16" s="13" t="str">
        <x:v>接触</x:v>
      </x:c>
      <x:c r="C16" s="13" t="str">
        <x:v>接触来自两个物体真实物理接触，不使用棋盘格，不默认包含瓶壁。默认同一来源与同一目标每回合最多触发一次；各行的总次数上限同时成立。持续接触不按每帧反复触发。</x:v>
      </x:c>
    </x:row>
    <x:row r="17" ht="30" customHeight="1">
      <x:c r="A17" s="3" t="str">
        <x:v>设计约定</x:v>
      </x:c>
      <x:c r="B17" s="3" t="str">
        <x:v>连通组</x:v>
      </x:c>
      <x:c r="C17" s="3" t="str">
        <x:v>冻结时用实际接触组成无向图。“植物连通组”等只保留符合该标签的节点与它们之间的接触边，不通过其他标签物体间接连接。</x:v>
      </x:c>
    </x:row>
    <x:row r="18" ht="38" customHeight="1">
      <x:c r="A18" s="13" t="str">
        <x:v>设计约定</x:v>
      </x:c>
      <x:c r="B18" s="13" t="str">
        <x:v>消耗原子性</x:v>
      </x:c>
      <x:c r="C18" s="13" t="str">
        <x:v>同一目标只能被一次成功消耗。护盾取消消耗时，依赖该消耗的生产、记分、收存和充能花费均取消。被消耗自身的后续效果不再执行，明写被消耗触发的效果除外。</x:v>
      </x:c>
    </x:row>
    <x:row r="19" ht="38" customHeight="1">
      <x:c r="A19" s="3" t="str">
        <x:v>设计约定</x:v>
      </x:c>
      <x:c r="B19" s="3" t="str">
        <x:v>收存</x:v>
      </x:c>
      <x:c r="C19" s="3" t="str">
        <x:v>收存=消耗目标并记录名称、标签和消耗瞬间V。物体从瓶中移除，记录不是额外实体。收存会触发被消耗事件；使用已存记录做配方不再次触发消耗。存入值只按对应容器文本计分。</x:v>
      </x:c>
    </x:row>
    <x:row r="20" ht="30" customHeight="1">
      <x:c r="A20" s="13" t="str">
        <x:v>设计约定</x:v>
      </x:c>
      <x:c r="B20" s="13" t="str">
        <x:v>容器内容</x:v>
      </x:c>
      <x:c r="C20" s="13" t="str">
        <x:v>满载指达到该卡容量。容器被消耗时内容一并清空，不再额外触发被消耗或返还。保险箱与连锁终端等用当前值时不计算尚未结算的容器内容。</x:v>
      </x:c>
    </x:row>
    <x:row r="21" ht="38" customHeight="1">
      <x:c r="A21" s="3" t="str">
        <x:v>设计约定</x:v>
      </x:c>
      <x:c r="B21" s="3" t="str">
        <x:v>生产与循环</x:v>
      </x:c>
      <x:c r="C21" s="3" t="str">
        <x:v>正常生产来自物品能力；遗物或丰产、礼帽等追加出来的物品标记为追加生产。追加生产不再次触发追加生产效果或生成类遗物，但产物之后仍能被接触和消耗。黄玉遇到多种产物时只追加卡面最先列出的1种，沿用生产时基础分；每个生产者受卡面总次数约束。</x:v>
      </x:c>
    </x:row>
    <x:row r="22" ht="38" customHeight="1">
      <x:c r="A22" s="13" t="str">
        <x:v>设计约定</x:v>
      </x:c>
      <x:c r="B22" s="13" t="str">
        <x:v>生成位置</x:v>
      </x:c>
      <x:c r="C22" s="13" t="str">
        <x:v>新物体在来源附近的可用空间进入瓶中，具有对应形状并遵循物理规则。生成者与产物初始重叠不算一次新接触；分离后再接触才可触发二者的接触效果。16件仅指初始抽取。</x:v>
      </x:c>
    </x:row>
    <x:row r="23" ht="38" customHeight="1">
      <x:c r="A23" s="3" t="str">
        <x:v>设计约定</x:v>
      </x:c>
      <x:c r="B23" s="3" t="str">
        <x:v>临时产物</x:v>
      </x:c>
      <x:c r="C23" s="3" t="str">
        <x:v>30种临时产物不进入三选一，不能从牌库抽取。彩翼蝶和古物奖章仅通过明示永久转化进入牌库；普通复制不复制能力。临时钥匙使用钥匙物品定义，但不加入牌库。</x:v>
      </x:c>
    </x:row>
    <x:row r="24" ht="38" customHeight="1">
      <x:c r="A24" s="13" t="str">
        <x:v>设计约定</x:v>
      </x:c>
      <x:c r="B24" s="13" t="str">
        <x:v>产物归属</x:v>
      </x:c>
      <x:c r="C24" s="13" t="str">
        <x:v>临时产物拥有本表列出的标签及主流派，不继承生产者其他标签。双黄蛋在蛋专属条件中视为1颗蛋；不是2个实例。蒸汽同时是水/火元素，但单次统计不重复计数。</x:v>
      </x:c>
    </x:row>
    <x:row r="25" ht="30" customHeight="1">
      <x:c r="A25" s="3" t="str">
        <x:v>设计约定</x:v>
      </x:c>
      <x:c r="B25" s="3" t="str">
        <x:v>充能</x:v>
      </x:c>
      <x:c r="C25" s="3" t="str">
        <x:v>每回合重置到卡面初始充能，额外充能最多存5。电源的供电不能被充能恢复。花费与返还均不提高技能总次数；减耗不产生额外“实际花费”事件。</x:v>
      </x:c>
    </x:row>
    <x:row r="26" ht="30" customHeight="1">
      <x:c r="A26" s="13" t="str">
        <x:v>设计约定</x:v>
      </x:c>
      <x:c r="B26" s="13" t="str">
        <x:v>路径与邮戳</x:v>
      </x:c>
      <x:c r="C26" s="13" t="str">
        <x:v>路径标记最多3层，同一洞穴石对同一目标仅给1层。邮戳为布尔标记。被消耗后临时标记消失；返还保留该实例原有标记、使用次数和剩余充能。</x:v>
      </x:c>
    </x:row>
    <x:row r="27" ht="38" customHeight="1">
      <x:c r="A27" s="3" t="str">
        <x:v>设计约定</x:v>
      </x:c>
      <x:c r="B27" s="3" t="str">
        <x:v>标记及状态</x:v>
      </x:c>
      <x:c r="C27" s="3" t="str">
        <x:v>点亮、火属性、护盾、路标、磁性、丰产、礼帽、培育、归途、效率均为本回合状态；同名不叠加。由同名物品给出的同名状态最多1份。永久成长单独记录其来源及上限。</x:v>
      </x:c>
    </x:row>
    <x:row r="28" ht="38" customHeight="1">
      <x:c r="A28" s="13" t="str">
        <x:v>设计约定</x:v>
      </x:c>
      <x:c r="B28" s="13" t="str">
        <x:v>永久成长时点</x:v>
      </x:c>
      <x:c r="C28" s="13" t="str">
        <x:v>永久成长只在结算末写入，从下一回合生效。物品需存活，除非明写例外。毛虫与时光胶囊永久转化时保留实例身份，但采用目标基础分，不继承旧临时加分或永久增量。</x:v>
      </x:c>
    </x:row>
    <x:row r="29" ht="38" customHeight="1">
      <x:c r="A29" s="3" t="str">
        <x:v>设计约定</x:v>
      </x:c>
      <x:c r="B29" s="3" t="str">
        <x:v>事件与结算特例</x:v>
      </x:c>
      <x:c r="C29" s="3" t="str">
        <x:v>精密标尺在其他结算加分后执行1次。成长档案在永久成长写入后按成功成长实例计数。收官红利读取此前事件池E，排除自身追加。之后仅汇总一次，才检查阶段目标。</x:v>
      </x:c>
    </x:row>
    <x:row r="30" ht="30" customHeight="1">
      <x:c r="A30" s="13" t="str">
        <x:v>设计约定</x:v>
      </x:c>
      <x:c r="B30" s="13" t="str">
        <x:v>遗物份数</x:v>
      </x:c>
      <x:c r="C30" s="13" t="str">
        <x:v>当前数值按同名遗物仅持有1份评估。遗物位于瓶外，不占16件、不发生碰撞；获取时不补发已经结束的回合效果。重复遗物的掉落政策尚未指定。</x:v>
      </x:c>
    </x:row>
    <x:row r="31" ht="38" customHeight="1">
      <x:c r="A31" s="3" t="str">
        <x:v>设计约定</x:v>
      </x:c>
      <x:c r="B31" s="3" t="str">
        <x:v>物品冲突顺序</x:v>
      </x:c>
      <x:c r="C31" s="3" t="str">
        <x:v>同一时刻的多来源按实例编号从小到大处理，先验证条件，再原子提交。一个来源若同时有多个目标，也按目标编号选择；次数未满才执行。结算选择目标另按F排序。</x:v>
      </x:c>
    </x:row>
    <x:row r="32" ht="38" customHeight="1">
      <x:c r="A32" s="13" t="str">
        <x:v>设计约定</x:v>
      </x:c>
      <x:c r="B32" s="13" t="str">
        <x:v>形状分类</x:v>
      </x:c>
      <x:c r="C32" s="13" t="str">
        <x:v>标准类别分为圆形、方形、三角形、长条形、凹槽形、弧形、不规则形。本表的外观形状另列；形状效果只读取标准类别。具体尺寸、质量和摩擦需另做物理原型。</x:v>
      </x:c>
    </x:row>
    <x:row r="33" ht="30" customHeight="1">
      <x:c r="A33" s="18" t="str">
        <x:v>待定</x:v>
      </x:c>
      <x:c r="B33" s="18" t="str">
        <x:v>阶段分数</x:v>
      </x:c>
      <x:c r="C33" s="18" t="str">
        <x:v>阶段目标曲线、达标后扣分或清零、余额保留及失败规则未在本轮确定。本内容表不新增经济系统。不得直接将原版美元数值当作本作分数。</x:v>
      </x:c>
    </x:row>
    <x:row r="34" ht="38" customHeight="1">
      <x:c r="A34" s="18" t="str">
        <x:v>待定</x:v>
      </x:c>
      <x:c r="B34" s="18" t="str">
        <x:v>数值与物理验证</x:v>
      </x:c>
      <x:c r="C34" s="18" t="str">
        <x:v>本表是内容设计提案，尚未经过可玩原型或概率仿真。生产空间、接触机会、抽样一致性、永久增长速度及目标曲线必须联调。推荐先上线每流派的P0物品及普通遗物。</x:v>
      </x:c>
    </x:row>
    <x:row r="35" ht="38" customHeight="1">
      <x:c r="A35" s="3" t="str">
        <x:v>来源</x:v>
      </x:c>
      <x:c r="B35" s="3" t="str">
        <x:v>参考表</x:v>
      </x:c>
      <x:c r="C35" s="3" t="str">
        <x:v>用户提供的《弹球亿万富翁》飞书工作簿，读取于2026-10-11。源表有126个完整效果触发器与46个完整效果增益；另20个触发器、12个增益缺少完整效果，未作为已知原版能力使用。</x:v>
      </x:c>
    </x:row>
    <x:row r="36" ht="30" customHeight="1">
      <x:c r="A36" s="13" t="str">
        <x:v>来源</x:v>
      </x:c>
      <x:c r="B36" s="13" t="str">
        <x:v>链接</x:v>
      </x:c>
      <x:c r="C36" s="13" t="str">
        <x:v>https://my.feishu.cn/sheets/P5svsZIKNhlNPXtidT7cS6oXnFc</x:v>
      </x:c>
    </x:row>
    <x:row r="37" ht="30" customHeight="1">
      <x:c r="A37" s="3" t="str">
        <x:v>来源</x:v>
      </x:c>
      <x:c r="B37" s="3" t="str">
        <x:v>借鉴边界</x:v>
      </x:c>
      <x:c r="C37" s="3" t="str">
        <x:v>每行列出参考名称和原表单元格；表示借鉴机制，不代表本作效果是原版翻译。标记“原创”的行是本次新增设计。未核验原作最新版本。</x:v>
      </x:c>
    </x:row>
  </x:sheetData>
  <x:pageMargins left="0.7" right="0.7" top="0.75" bottom="0.75" header="0.3" footer="0.3"/>
  <x:tableParts count="1">
    <x:tablePart xmlns:r="http://schemas.openxmlformats.org/officeDocument/2006/relationships" r:id="R4a02912412b34105"/>
  </x:tableParts>
</x:worksheet>
</file>

<file path=xl/worksheets/sheet6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75" hidden="0" customWidth="1"/>
    <x:col min="4" max="4" width="51" hidden="0" customWidth="1"/>
  </x:cols>
  <x:sheetData>
    <x:row r="1">
      <x:c r="A1" s="3"/>
      <x:c r="B1" s="3"/>
      <x:c r="C1" s="3"/>
      <x:c r="D1" s="3"/>
    </x:row>
    <x:row r="2">
      <x:c r="A2" s="6" t="str">
        <x:v>原机制适配</x:v>
      </x:c>
      <x:c r="B2" s="7"/>
      <x:c r="C2" s="7"/>
      <x:c r="D2" s="7"/>
    </x:row>
    <x:row r="3">
      <x:c r="A3" s="8" t="str">
        <x:v>借鉴机制后重新设计，原版未说明的效果不作推断。</x:v>
      </x:c>
      <x:c r="B3" s="7"/>
      <x:c r="C3" s="7"/>
      <x:c r="D3" s="7"/>
    </x:row>
    <x:row r="4">
      <x:c r="A4" s="9"/>
      <x:c r="B4" s="9"/>
      <x:c r="C4" s="9"/>
      <x:c r="D4" s="9"/>
    </x:row>
    <x:row r="5" ht="30" customHeight="1">
      <x:c r="A5" s="12" t="str">
        <x:v>原表机制</x:v>
      </x:c>
      <x:c r="B5" s="12" t="str">
        <x:v>本作设计</x:v>
      </x:c>
      <x:c r="C5" s="12" t="str">
        <x:v>适配说明</x:v>
      </x:c>
      <x:c r="D5" s="12" t="str">
        <x:v>参考条目</x:v>
      </x:c>
    </x:row>
    <x:row r="6" ht="30" customHeight="1">
      <x:c r="A6" s="13" t="str">
        <x:v>被球碰到</x:v>
      </x:c>
      <x:c r="B6" s="13" t="str">
        <x:v>物体与指定物体实际接触</x:v>
      </x:c>
      <x:c r="C6" s="13" t="str">
        <x:v>不区分主动球与固定触发器；物体都有实体形状。</x:v>
      </x:c>
      <x:c r="D6" s="13" t="str">
        <x:v>Bread、Pumpkin、Sword</x:v>
      </x:c>
    </x:row>
    <x:row r="7" ht="30" customHeight="1">
      <x:c r="A7" s="3" t="str">
        <x:v>携带物</x:v>
      </x:c>
      <x:c r="B7" s="3" t="str">
        <x:v>本回合状态标记或收存记录</x:v>
      </x:c>
      <x:c r="C7" s="3" t="str">
        <x:v>标记不占抽取数，不额外创建装备槽；实际物体仍留在瓶内。</x:v>
      </x:c>
      <x:c r="D7" s="3" t="str">
        <x:v>Torch、Wallet、Tophat</x:v>
      </x:c>
    </x:row>
    <x:row r="8" ht="30" customHeight="1">
      <x:c r="A8" s="13" t="str">
        <x:v>固定格子相邻</x:v>
      </x:c>
      <x:c r="B8" s="13" t="str">
        <x:v>冻结时真实接触或接触连通组</x:v>
      </x:c>
      <x:c r="C8" s="13" t="str">
        <x:v>需要玩家摇晃促成接触；不假设存在棋盘格。</x:v>
      </x:c>
      <x:c r="D8" s="13" t="str">
        <x:v>Amethyst、Clover、Hammock</x:v>
      </x:c>
    </x:row>
    <x:row r="9" ht="30" customHeight="1">
      <x:c r="A9" s="3" t="str">
        <x:v>球离开屏幕</x:v>
      </x:c>
      <x:c r="B9" s="3" t="str">
        <x:v>未直接采用</x:v>
      </x:c>
      <x:c r="C9" s="3" t="str">
        <x:v>封闭容器没有离屏生命周期；返还效果改由明确的消耗事件触发。</x:v>
      </x:c>
      <x:c r="D9" s="3" t="str">
        <x:v>Feather、Shopping List</x:v>
      </x:c>
    </x:row>
    <x:row r="10" ht="30" customHeight="1">
      <x:c r="A10" s="13" t="str">
        <x:v>收益倍率</x:v>
      </x:c>
      <x:c r="B10" s="13" t="str">
        <x:v>结算倍率增量</x:v>
      </x:c>
      <x:c r="C10" s="13" t="str">
        <x:v>均在冻结后统一结算，采用加法叠加避免无上限乘法链。</x:v>
      </x:c>
      <x:c r="D10" s="13" t="str">
        <x:v>Rainbow、Compass</x:v>
      </x:c>
    </x:row>
    <x:row r="11" ht="30" customHeight="1">
      <x:c r="A11" s="3" t="str">
        <x:v>限次充能</x:v>
      </x:c>
      <x:c r="B11" s="3" t="str">
        <x:v>单回合充能与效果次数</x:v>
      </x:c>
      <x:c r="C11" s="3" t="str">
        <x:v>生产者可以补充燃料，但不因充能重置其技能次数。</x:v>
      </x:c>
      <x:c r="D11" s="3" t="str">
        <x:v>Battery、Greenhouse、Outlet</x:v>
      </x:c>
    </x:row>
    <x:row r="12" ht="30" customHeight="1">
      <x:c r="A12" s="13" t="str">
        <x:v>重转</x:v>
      </x:c>
      <x:c r="B12" s="13" t="str">
        <x:v>未建立重转资源</x:v>
      </x:c>
      <x:c r="C12" s="13" t="str">
        <x:v>可借鉴它的成长、回能目的，改为本回合或结算触发。</x:v>
      </x:c>
      <x:c r="D12" s="13" t="str">
        <x:v>Hourglass、Tire Pump</x:v>
      </x:c>
    </x:row>
    <x:row r="13" ht="30" customHeight="1">
      <x:c r="A13" s="3" t="str">
        <x:v>销毁或移除</x:v>
      </x:c>
      <x:c r="B13" s="3" t="str">
        <x:v>本回合消耗</x:v>
      </x:c>
      <x:c r="C13" s="3" t="str">
        <x:v>只有明确写永久转化的条目才改变牌库库存。</x:v>
      </x:c>
      <x:c r="D13" s="3" t="str">
        <x:v>Recycling Bin、Trash Can</x:v>
      </x:c>
    </x:row>
    <x:row r="14" ht="30" customHeight="1">
      <x:c r="A14" s="13" t="str">
        <x:v>年龄</x:v>
      </x:c>
      <x:c r="B14" s="13" t="str">
        <x:v>明确的永久成长或出场计数</x:v>
      </x:c>
      <x:c r="C14" s="13" t="str">
        <x:v>只在被抽中并满足存活条件时推进，避免牌库外无条件成长。</x:v>
      </x:c>
      <x:c r="D14" s="13" t="str">
        <x:v>Tree、Caterpillar、Time Capsule</x:v>
      </x:c>
    </x:row>
    <x:row r="15" ht="30" customHeight="1">
      <x:c r="A15" s="3" t="str">
        <x:v>额外抽取</x:v>
      </x:c>
      <x:c r="B15" s="3" t="str">
        <x:v>不直接移植</x:v>
      </x:c>
      <x:c r="C15" s="3" t="str">
        <x:v>保持物品和遗物三选一节奏，改成分数、产物或组合奖励。</x:v>
      </x:c>
      <x:c r="D15" s="3" t="str">
        <x:v>Camera、Rabbit's Foot、Growth Serum</x:v>
      </x:c>
    </x:row>
    <x:row r="16" ht="30" customHeight="1">
      <x:c r="A16" s="13" t="str">
        <x:v>堆叠</x:v>
      </x:c>
      <x:c r="B16" s="13" t="str">
        <x:v>同名物体组或接触组</x:v>
      </x:c>
      <x:c r="C16" s="13" t="str">
        <x:v>保留独立物体，避免自动永久合并改变库存。</x:v>
      </x:c>
      <x:c r="D16" s="13" t="str">
        <x:v>Cairn、Plate、Amethyst</x:v>
      </x:c>
    </x:row>
    <x:row r="17" ht="30" customHeight="1">
      <x:c r="A17" s="3" t="str">
        <x:v>可攻击目标</x:v>
      </x:c>
      <x:c r="B17" s="3" t="str">
        <x:v>接触触发的固定数值伤害</x:v>
      </x:c>
      <x:c r="C17" s="3" t="str">
        <x:v>不以摇晃力度造成伤害；目标只在本回合被击败。</x:v>
      </x:c>
      <x:c r="D17" s="3" t="str">
        <x:v>Practice Dummy、Cave Troll</x:v>
      </x:c>
    </x:row>
    <x:row r="18" ht="30" customHeight="1">
      <x:c r="A18" s="13" t="str">
        <x:v>原版不明效果</x:v>
      </x:c>
      <x:c r="B18" s="13" t="str">
        <x:v>不推断原版机制</x:v>
      </x:c>
      <x:c r="C18" s="13" t="str">
        <x:v>20个触发器及12个增益仅保留为来源缺项；本表原创机制单独标注。</x:v>
      </x:c>
      <x:c r="D18" s="13" t="str">
        <x:v>Oven、Zoo、Dark Medal等</x:v>
      </x:c>
    </x:row>
    <x:row r="19" ht="30" customHeight="1">
      <x:c r="A19" s="3" t="str">
        <x:v>原版30秒冷却</x:v>
      </x:c>
      <x:c r="B19" s="3" t="str">
        <x:v>有限触发次数</x:v>
      </x:c>
      <x:c r="C19" s="3" t="str">
        <x:v>适配10秒操作窗口，用每目标及每回合上限实现节奏。</x:v>
      </x:c>
      <x:c r="D19" s="3" t="str">
        <x:v>Balloon、Chef's Pan、Firecracker</x:v>
      </x:c>
    </x:row>
    <x:row r="20" ht="30" customHeight="1">
      <x:c r="A20" s="13" t="str">
        <x:v>原版金额</x:v>
      </x:c>
      <x:c r="B20" s="13" t="str">
        <x:v>重新设置的原型分数</x:v>
      </x:c>
      <x:c r="C20" s="13" t="str">
        <x:v>没有使用美元到分数的比例换算；目标曲线需结合实际对局调参。</x:v>
      </x:c>
      <x:c r="D20" s="13" t="str">
        <x:v>源表全部数值</x:v>
      </x:c>
    </x:row>
  </x:sheetData>
  <x:pageMargins left="0.7" right="0.7" top="0.75" bottom="0.75" header="0.3" footer="0.3"/>
  <x:tableParts count="1">
    <x:tablePart xmlns:r="http://schemas.openxmlformats.org/officeDocument/2006/relationships" r:id="Raedbb57c05384171"/>
  </x:tableParts>
</x:worksheet>
</file>

<file path=xl/worksheets/sheet7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58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>
      <x:c r="A2" s="6" t="str">
        <x:v>结算算例</x:v>
      </x:c>
      <x:c r="B2" s="7"/>
      <x:c r="C2" s="7"/>
      <x:c r="D2" s="7"/>
      <x:c r="E2" s="7"/>
      <x:c r="F2" s="7"/>
      <x:c r="G2" s="7"/>
    </x:row>
    <x:row r="3">
      <x:c r="A3" s="8" t="str">
        <x:v>只计算所述组件贡献；修改数值后，计算结果会随公式更新。</x:v>
      </x:c>
      <x:c r="B3" s="7"/>
      <x:c r="C3" s="7"/>
      <x:c r="D3" s="7"/>
      <x:c r="E3" s="7"/>
      <x:c r="F3" s="7"/>
      <x:c r="G3" s="7"/>
    </x:row>
    <x:row r="4">
      <x:c r="A4" s="9"/>
      <x:c r="B4" s="9"/>
      <x:c r="C4" s="9"/>
      <x:c r="D4" s="9"/>
      <x:c r="E4" s="9"/>
      <x:c r="F4" s="9"/>
      <x:c r="G4" s="9"/>
    </x:row>
    <x:row r="5" ht="30" customHeight="1">
      <x:c r="A5" s="12" t="str">
        <x:v>算例</x:v>
      </x:c>
      <x:c r="B5" s="12" t="str">
        <x:v>冻结值F</x:v>
      </x:c>
      <x:c r="C5" s="12" t="str">
        <x:v>结算加分A</x:v>
      </x:c>
      <x:c r="D5" s="12" t="str">
        <x:v>倍率增量M</x:v>
      </x:c>
      <x:c r="E5" s="12" t="str">
        <x:v>事件记分E</x:v>
      </x:c>
      <x:c r="F5" s="12" t="str">
        <x:v>计算结果</x:v>
      </x:c>
      <x:c r="G5" s="12" t="str">
        <x:v>说明</x:v>
      </x:c>
    </x:row>
    <x:row r="6" ht="30" customHeight="1">
      <x:c r="A6" s="13" t="str">
        <x:v>存钱猪收3枚金币</x:v>
      </x:c>
      <x:c r="B6" s="14" t="n">
        <x:v>1</x:v>
      </x:c>
      <x:c r="C6" s="14" t="n">
        <x:v>15</x:v>
      </x:c>
      <x:c r="D6" s="19" t="n">
        <x:v>0</x:v>
      </x:c>
      <x:c r="E6" s="14" t="n">
        <x:v>0</x:v>
      </x:c>
      <x:c r="F6" s="14" t="n">
        <x:f>ROUNDDOWN((B6+C6)*(1+D6),0)+E6</x:f>
        <x:v>16</x:v>
      </x:c>
      <x:c r="G6" s="13" t="str">
        <x:v>容量3，存入9，每件另+2；原金币不再计分。</x:v>
      </x:c>
    </x:row>
    <x:row r="7" ht="30" customHeight="1">
      <x:c r="A7" s="3" t="str">
        <x:v>南瓜3水珠+温室罩</x:v>
      </x:c>
      <x:c r="B7" s="15" t="n">
        <x:v>12</x:v>
      </x:c>
      <x:c r="C7" s="15" t="n">
        <x:v>0</x:v>
      </x:c>
      <x:c r="D7" s="20" t="n">
        <x:v>0.5</x:v>
      </x:c>
      <x:c r="E7" s="15" t="n">
        <x:v>0</x:v>
      </x:c>
      <x:c r="F7" s="15" t="n">
        <x:f>ROUNDDOWN((B7+C7)*(1+D7),0)+E7</x:f>
        <x:v>18</x:v>
      </x:c>
      <x:c r="G7" s="3" t="str">
        <x:v>南瓜基础3+3×3，结算倍率+50%。</x:v>
      </x:c>
    </x:row>
    <x:row r="8" ht="30" customHeight="1">
      <x:c r="A8" s="13" t="str">
        <x:v>核心叠放大镜与桂冠</x:v>
      </x:c>
      <x:c r="B8" s="14" t="n">
        <x:v>12</x:v>
      </x:c>
      <x:c r="C8" s="14" t="n">
        <x:v>4</x:v>
      </x:c>
      <x:c r="D8" s="19" t="n">
        <x:v>2</x:v>
      </x:c>
      <x:c r="E8" s="14" t="n">
        <x:v>0</x:v>
      </x:c>
      <x:c r="F8" s="14" t="n">
        <x:f>ROUNDDOWN((B8+C8)*(1+D8),0)+E8</x:f>
        <x:v>48</x:v>
      </x:c>
      <x:c r="G8" s="13" t="str">
        <x:v>倍率100%+100%=200%，最终乘3。</x:v>
      </x:c>
    </x:row>
    <x:row r="9" ht="30" customHeight="1">
      <x:c r="A9" s="3" t="str">
        <x:v>灵魂石吞1幽灵</x:v>
      </x:c>
      <x:c r="B9" s="15" t="n">
        <x:v>6</x:v>
      </x:c>
      <x:c r="C9" s="15" t="n">
        <x:v>0</x:v>
      </x:c>
      <x:c r="D9" s="20" t="n">
        <x:v>0</x:v>
      </x:c>
      <x:c r="E9" s="15" t="n">
        <x:v>2</x:v>
      </x:c>
      <x:c r="F9" s="15" t="n">
        <x:f>ROUNDDOWN((B9+C9)*(1+D9),0)+E9</x:f>
        <x:v>8</x:v>
      </x:c>
      <x:c r="G9" s="3" t="str">
        <x:v>灵魂石2+目标2+额外2；幽灵被消耗记分2。</x:v>
      </x:c>
    </x:row>
    <x:row r="10" ht="30" customHeight="1">
      <x:c r="A10" s="13" t="str">
        <x:v>镜片读取冻结12</x:v>
      </x:c>
      <x:c r="B10" s="14" t="n">
        <x:v>2</x:v>
      </x:c>
      <x:c r="C10" s="14" t="n">
        <x:v>6</x:v>
      </x:c>
      <x:c r="D10" s="19" t="n">
        <x:v>0</x:v>
      </x:c>
      <x:c r="E10" s="14" t="n">
        <x:v>0</x:v>
      </x:c>
      <x:c r="F10" s="14" t="n">
        <x:f>ROUNDDOWN((B10+C10)*(1+D10),0)+E10</x:f>
        <x:v>8</x:v>
      </x:c>
      <x:c r="G10" s="13" t="str">
        <x:v>复制冻结值50%，不复制后续结算加分。</x:v>
      </x:c>
    </x:row>
    <x:row r="11" ht="30" customHeight="1">
      <x:c r="A11" s="3" t="str">
        <x:v>面包奶酪合成热餐</x:v>
      </x:c>
      <x:c r="B11" s="15" t="n">
        <x:v>8</x:v>
      </x:c>
      <x:c r="C11" s="15" t="n">
        <x:v>0</x:v>
      </x:c>
      <x:c r="D11" s="20" t="n">
        <x:v>0</x:v>
      </x:c>
      <x:c r="E11" s="15" t="n">
        <x:v>3</x:v>
      </x:c>
      <x:c r="F11" s="15" t="n">
        <x:f>ROUNDDOWN((B11+C11)*(1+D11),0)+E11</x:f>
        <x:v>11</x:v>
      </x:c>
      <x:c r="G11" s="3" t="str">
        <x:v>仅统计热餐与面包亡语，原材料不再计分。</x:v>
      </x:c>
    </x:row>
    <x:row r="12" ht="30" customHeight="1">
      <x:c r="A12" s="13" t="str">
        <x:v>电容存3电+并联线圈</x:v>
      </x:c>
      <x:c r="B12" s="14" t="n">
        <x:v>4</x:v>
      </x:c>
      <x:c r="C12" s="14" t="n">
        <x:v>15</x:v>
      </x:c>
      <x:c r="D12" s="19" t="n">
        <x:v>0</x:v>
      </x:c>
      <x:c r="E12" s="14" t="n">
        <x:v>0</x:v>
      </x:c>
      <x:c r="F12" s="14" t="n">
        <x:f>ROUNDDOWN((B12+C12)*(1+D12),0)+E12</x:f>
        <x:v>19</x:v>
      </x:c>
      <x:c r="G12" s="13" t="str">
        <x:v>收到3电先+3，结算3×3，再由遗物3×2。</x:v>
      </x:c>
    </x:row>
    <x:row r="13" ht="30" customHeight="1">
      <x:c r="A13" s="3" t="str">
        <x:v>终端消耗当前值8目标</x:v>
      </x:c>
      <x:c r="B13" s="15" t="n">
        <x:v>0</x:v>
      </x:c>
      <x:c r="C13" s="15" t="n">
        <x:v>0</x:v>
      </x:c>
      <x:c r="D13" s="20" t="n">
        <x:v>0</x:v>
      </x:c>
      <x:c r="E13" s="15" t="n">
        <x:v>24</x:v>
      </x:c>
      <x:c r="F13" s="15" t="n">
        <x:f>ROUNDDOWN((B13+C13)*(1+D13),0)+E13</x:f>
        <x:v>24</x:v>
      </x:c>
      <x:c r="G13" s="3" t="str">
        <x:v>仅统计终端触发贡献，目标不另计。</x:v>
      </x:c>
    </x:row>
  </x:sheetData>
  <x:pageMargins left="0.7" right="0.7" top="0.75" bottom="0.75" header="0.3" footer="0.3"/>
  <x:tableParts count="1">
    <x:tablePart xmlns:r="http://schemas.openxmlformats.org/officeDocument/2006/relationships" r:id="R07242d13bb4f47b0"/>
  </x:tableParts>
</x:worksheet>
</file>